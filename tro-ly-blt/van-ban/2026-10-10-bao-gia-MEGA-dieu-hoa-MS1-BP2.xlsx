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汇总表" sheetId="1" state="visible" r:id="rId1"/>
    <sheet xmlns:r="http://schemas.openxmlformats.org/officeDocument/2006/relationships" name="1-BP2 机房系统 Phòng máy lạnh" sheetId="2" state="visible" r:id="rId2"/>
    <sheet xmlns:r="http://schemas.openxmlformats.org/officeDocument/2006/relationships" name="2-BP2 自控系统 Tự động ĐK" sheetId="3" state="visible" r:id="rId3"/>
    <sheet xmlns:r="http://schemas.openxmlformats.org/officeDocument/2006/relationships" name="3-BP2 末端系统 Đầu cuối" sheetId="4" state="visible" r:id="rId4"/>
    <sheet xmlns:r="http://schemas.openxmlformats.org/officeDocument/2006/relationships" name="4-MS1 末端系统 Đầu cuối T1" sheetId="5" state="visible" r:id="rId5"/>
    <sheet xmlns:r="http://schemas.openxmlformats.org/officeDocument/2006/relationships" name="5-品牌表 Thương hiệu" sheetId="6" state="visible" r:id="rId6"/>
  </sheets>
  <definedNames>
    <definedName name="_xlnm.Print_Titles" localSheetId="1">'1-BP2 机房系统 Phòng máy lạnh'!$4:$5</definedName>
    <definedName name="_xlnm.Print_Titles" localSheetId="2">'2-BP2 自控系统 Tự động ĐK'!$4:$5</definedName>
    <definedName name="_xlnm.Print_Titles" localSheetId="3">'3-BP2 末端系统 Đầu cuối'!$4:$5</definedName>
    <definedName name="_xlnm.Print_Titles" localSheetId="4">'4-MS1 末端系统 Đầu cuối T1'!$4:$5</definedName>
    <definedName name="_xlnm.Print_Titles" localSheetId="5">'5-品牌表 Thương hiệu'!$3:$3</definedName>
  </definedNames>
  <calcPr calcId="124519" fullCalcOnLoad="1"/>
</workbook>
</file>

<file path=xl/styles.xml><?xml version="1.0" encoding="utf-8"?>
<styleSheet xmlns="http://schemas.openxmlformats.org/spreadsheetml/2006/main">
  <numFmts count="1">
    <numFmt numFmtId="164" formatCode="#,##0;-#,##0;&quot;-&quot;"/>
  </numFmts>
  <fonts count="19">
    <font>
      <name val="Calibri"/>
      <family val="2"/>
      <color theme="1"/>
      <sz val="11"/>
      <scheme val="minor"/>
    </font>
    <font>
      <name val="Arial"/>
      <b val="1"/>
      <color rgb="001F3864"/>
      <sz val="12"/>
    </font>
    <font>
      <name val="Arial"/>
      <b val="1"/>
      <color rgb="002E75B6"/>
      <sz val="10"/>
    </font>
    <font>
      <name val="Arial"/>
      <b val="1"/>
      <color rgb="001F3864"/>
      <sz val="13"/>
    </font>
    <font>
      <name val="Arial"/>
      <b val="1"/>
      <color rgb="00000000"/>
      <sz val="10"/>
    </font>
    <font>
      <name val="Arial"/>
      <b val="1"/>
      <color rgb="00FFFFFF"/>
      <sz val="9"/>
    </font>
    <font>
      <name val="Arial"/>
      <b val="1"/>
      <color rgb="001F3864"/>
      <sz val="10"/>
    </font>
    <font>
      <name val="Arial"/>
      <color rgb="00000000"/>
      <sz val="10"/>
    </font>
    <font>
      <name val="Arial"/>
      <color rgb="00000000"/>
      <sz val="9"/>
    </font>
    <font>
      <name val="Arial"/>
      <b val="1"/>
      <color rgb="001F3864"/>
      <sz val="11"/>
    </font>
    <font>
      <name val="Arial"/>
      <i val="1"/>
      <color rgb="00000000"/>
      <sz val="9"/>
    </font>
    <font>
      <name val="Arial"/>
      <b val="1"/>
      <color rgb="001F3864"/>
      <sz val="16"/>
    </font>
    <font>
      <name val="Arial"/>
      <color rgb="00404040"/>
      <sz val="9"/>
    </font>
    <font>
      <name val="Arial"/>
      <b val="1"/>
      <color rgb="001F3864"/>
      <sz val="20"/>
    </font>
    <font>
      <name val="Arial"/>
      <i val="1"/>
      <color rgb="00404040"/>
      <sz val="10"/>
    </font>
    <font>
      <name val="Arial"/>
      <i val="1"/>
      <color rgb="00000000"/>
      <sz val="10"/>
    </font>
    <font>
      <name val="Arial"/>
      <b val="1"/>
      <color rgb="00FFFFFF"/>
      <sz val="10"/>
    </font>
    <font>
      <name val="Arial"/>
      <i val="1"/>
      <color rgb="00595959"/>
      <sz val="8"/>
    </font>
    <font>
      <name val="Arial"/>
      <i val="1"/>
      <color rgb="00595959"/>
      <sz val="9"/>
    </font>
  </fonts>
  <fills count="6">
    <fill>
      <patternFill/>
    </fill>
    <fill>
      <patternFill patternType="gray125"/>
    </fill>
    <fill>
      <patternFill patternType="solid">
        <fgColor rgb="001F3864"/>
      </patternFill>
    </fill>
    <fill>
      <patternFill patternType="solid">
        <fgColor rgb="00DDEBF7"/>
      </patternFill>
    </fill>
    <fill>
      <patternFill patternType="solid">
        <fgColor rgb="00F2F2F2"/>
      </patternFill>
    </fill>
    <fill>
      <patternFill patternType="solid">
        <fgColor rgb="00FFF2CC"/>
      </patternFill>
    </fill>
  </fills>
  <borders count="4">
    <border>
      <left/>
      <right/>
      <top/>
      <bottom/>
      <diagonal/>
    </border>
    <border>
      <bottom style="medium">
        <color rgb="001F3864"/>
      </bottom>
    </border>
    <border>
      <left style="thin">
        <color rgb="009BB7D9"/>
      </left>
      <right style="thin">
        <color rgb="009BB7D9"/>
      </right>
      <top style="thin">
        <color rgb="009BB7D9"/>
      </top>
      <bottom style="thin">
        <color rgb="009BB7D9"/>
      </bottom>
    </border>
    <border>
      <bottom style="thick">
        <color rgb="001F3864"/>
      </bottom>
    </border>
  </borders>
  <cellStyleXfs count="1">
    <xf numFmtId="0" fontId="0" fillId="0" borderId="0"/>
  </cellStyleXfs>
  <cellXfs count="46">
    <xf numFmtId="0" fontId="0" fillId="0" borderId="0" pivotButton="0" quotePrefix="0" xfId="0"/>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3" applyAlignment="1" pivotButton="0" quotePrefix="0" xfId="0">
      <alignment horizontal="left" vertical="center" wrapText="1"/>
    </xf>
    <xf numFmtId="0" fontId="0" fillId="0" borderId="3" pivotButton="0" quotePrefix="0" xfId="0"/>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7" fillId="0" borderId="0" applyAlignment="1" pivotButton="0" quotePrefix="0" xfId="0">
      <alignment vertical="top" wrapText="1"/>
    </xf>
    <xf numFmtId="0" fontId="4" fillId="0" borderId="0" applyAlignment="1" pivotButton="0" quotePrefix="0" xfId="0">
      <alignment vertical="top" wrapText="1"/>
    </xf>
    <xf numFmtId="0" fontId="15" fillId="0" borderId="0" applyAlignment="1" pivotButton="0" quotePrefix="0" xfId="0">
      <alignment horizontal="left" vertical="center" wrapText="1"/>
    </xf>
    <xf numFmtId="0" fontId="16" fillId="2" borderId="2"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2" applyAlignment="1" pivotButton="0" quotePrefix="0" xfId="0">
      <alignment horizontal="left" vertical="center" wrapText="1"/>
    </xf>
    <xf numFmtId="164" fontId="4" fillId="0" borderId="2" applyAlignment="1" pivotButton="0" quotePrefix="0" xfId="0">
      <alignment horizontal="right" vertical="center" wrapText="1"/>
    </xf>
    <xf numFmtId="0" fontId="17" fillId="0" borderId="2" applyAlignment="1" pivotButton="0" quotePrefix="0" xfId="0">
      <alignment horizontal="left" vertical="center" wrapText="1"/>
    </xf>
    <xf numFmtId="164" fontId="7" fillId="0" borderId="2" applyAlignment="1" pivotButton="0" quotePrefix="0" xfId="0">
      <alignment horizontal="right"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164" fontId="4" fillId="4" borderId="2" applyAlignment="1" pivotButton="0" quotePrefix="0" xfId="0">
      <alignment horizontal="right" vertical="center" wrapText="1"/>
    </xf>
    <xf numFmtId="0" fontId="1" fillId="5" borderId="2" applyAlignment="1" pivotButton="0" quotePrefix="0" xfId="0">
      <alignment horizontal="center" vertical="center" wrapText="1"/>
    </xf>
    <xf numFmtId="0" fontId="1" fillId="5" borderId="2" applyAlignment="1" pivotButton="0" quotePrefix="0" xfId="0">
      <alignment horizontal="left" vertical="center" wrapText="1"/>
    </xf>
    <xf numFmtId="164" fontId="1" fillId="5" borderId="2" applyAlignment="1" pivotButton="0" quotePrefix="0" xfId="0">
      <alignment horizontal="right" vertical="center" wrapText="1"/>
    </xf>
    <xf numFmtId="0" fontId="9" fillId="0" borderId="0" applyAlignment="1" pivotButton="0" quotePrefix="0" xfId="0">
      <alignment horizontal="left" vertical="center" wrapText="1"/>
    </xf>
    <xf numFmtId="0" fontId="8" fillId="0" borderId="0" applyAlignment="1" pivotButton="0" quotePrefix="0" xfId="0">
      <alignment horizontal="left" vertical="center" wrapText="1"/>
    </xf>
    <xf numFmtId="0" fontId="4" fillId="0" borderId="0" applyAlignment="1" pivotButton="0" quotePrefix="0" xfId="0">
      <alignment horizontal="center"/>
    </xf>
    <xf numFmtId="0" fontId="18" fillId="0" borderId="0" applyAlignment="1" pivotButton="0" quotePrefix="0" xfId="0">
      <alignment horizontal="center"/>
    </xf>
    <xf numFmtId="0" fontId="7" fillId="0" borderId="0" applyAlignment="1" pivotButton="0" quotePrefix="0" xfId="0">
      <alignment horizontal="center"/>
    </xf>
    <xf numFmtId="0" fontId="1" fillId="0" borderId="1" pivotButton="0" quotePrefix="0" xfId="0"/>
    <xf numFmtId="0" fontId="0" fillId="0" borderId="1" pivotButton="0" quotePrefix="0" xfId="0"/>
    <xf numFmtId="0" fontId="2" fillId="0" borderId="1" applyAlignment="1" pivotButton="0" quotePrefix="0" xfId="0">
      <alignment horizontal="right"/>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6" fillId="3" borderId="2" applyAlignment="1" pivotButton="0" quotePrefix="0" xfId="0">
      <alignment horizontal="left" vertical="center" wrapText="1"/>
    </xf>
    <xf numFmtId="0" fontId="8" fillId="0" borderId="2" applyAlignment="1" pivotButton="0" quotePrefix="0" xfId="0">
      <alignment horizontal="left" vertical="center" wrapText="1"/>
    </xf>
    <xf numFmtId="3" fontId="7" fillId="0" borderId="2" applyAlignment="1" pivotButton="0" quotePrefix="0" xfId="0">
      <alignment horizontal="right" vertical="center" wrapText="1"/>
    </xf>
    <xf numFmtId="0" fontId="4" fillId="4" borderId="2" pivotButton="0" quotePrefix="0" xfId="0"/>
    <xf numFmtId="0" fontId="4" fillId="4" borderId="2" applyAlignment="1" pivotButton="0" quotePrefix="0" xfId="0">
      <alignment horizontal="right" vertical="center"/>
    </xf>
    <xf numFmtId="164" fontId="4" fillId="4" borderId="2" pivotButton="0" quotePrefix="0" xfId="0"/>
    <xf numFmtId="4" fontId="7" fillId="0" borderId="2" applyAlignment="1" pivotButton="0" quotePrefix="0" xfId="0">
      <alignment horizontal="right" vertical="center" wrapText="1"/>
    </xf>
    <xf numFmtId="0" fontId="9" fillId="5" borderId="2" applyAlignment="1" pivotButton="0" quotePrefix="0" xfId="0">
      <alignment horizontal="right" vertical="center" wrapText="1"/>
    </xf>
    <xf numFmtId="0" fontId="9" fillId="5" borderId="2" pivotButton="0" quotePrefix="0" xfId="0"/>
    <xf numFmtId="164" fontId="9" fillId="5" borderId="2" applyAlignment="1" pivotButton="0" quotePrefix="0" xfId="0">
      <alignment horizontal="right" vertical="center"/>
    </xf>
    <xf numFmtId="0" fontId="8" fillId="0" borderId="2" applyAlignment="1" pivotButton="0" quotePrefix="0" xfId="0">
      <alignment horizontal="center" vertical="center" wrapText="1"/>
    </xf>
    <xf numFmtId="0" fontId="10" fillId="0" borderId="0" applyAlignment="1" pivotButton="0" quotePrefix="0" xfId="0">
      <alignment vertical="top" wrapText="1"/>
    </xf>
  </cellXfs>
  <cellStyles count="1">
    <cellStyle name="Normal" xfId="0" builtinId="0" hidden="0"/>
  </cellStyles>
  <dxfs count="1">
    <dxf>
      <fill>
        <patternFill patternType="solid">
          <fgColor rgb="00FFF9D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8"/>
  <sheetViews>
    <sheetView showGridLines="0" workbookViewId="0">
      <selection activeCell="A1" sqref="A1"/>
    </sheetView>
  </sheetViews>
  <sheetFormatPr baseColWidth="8" defaultRowHeight="15"/>
  <cols>
    <col width="8" customWidth="1" min="1" max="1"/>
    <col width="66" customWidth="1" min="2" max="2"/>
    <col width="24" customWidth="1" min="3" max="3"/>
    <col width="30" customWidth="1" min="4" max="4"/>
  </cols>
  <sheetData>
    <row r="1" ht="26" customHeight="1">
      <c r="A1" s="1" t="inlineStr">
        <is>
          <t>[CÔNG TY TNHH / CỔ PHẦN …] BLT</t>
        </is>
      </c>
    </row>
    <row r="2">
      <c r="A2" s="2" t="inlineStr">
        <is>
          <t>Địa chỉ / 地址: [Số nhà, đường, phường/xã, tỉnh/thành phố]</t>
        </is>
      </c>
    </row>
    <row r="3">
      <c r="A3" s="3" t="inlineStr">
        <is>
          <t>MST / 税号: [0123456789]   |   ĐT / 电话: [0900 000 000]   |   Email: [email@blt.vn]</t>
        </is>
      </c>
      <c r="B3" s="4" t="n"/>
      <c r="C3" s="4" t="n"/>
      <c r="D3" s="4" t="n"/>
    </row>
    <row r="5" ht="34" customHeight="1">
      <c r="A5" s="5" t="inlineStr">
        <is>
          <t>BẢNG BÁO GIÁ  ·  报价单</t>
        </is>
      </c>
    </row>
    <row r="6">
      <c r="A6" s="6" t="inlineStr">
        <is>
          <t>Số / 编号: BG-BLT-2026/[..]     –     Ngày / 日期: 10/10/2026</t>
        </is>
      </c>
    </row>
    <row r="8" ht="16" customHeight="1">
      <c r="A8" s="7" t="inlineStr">
        <is>
          <t>Kính gửi / 致:  Quý Công ty MEGA / MEGA公司  –  [Tên đầy đủ của khách hàng]</t>
        </is>
      </c>
    </row>
    <row r="9" ht="30" customHeight="1">
      <c r="A9" s="8" t="inlineStr">
        <is>
          <t>Công trình / 工程名称:  MEGA一期MS1一楼&amp;BP2空调安装工程
                                  Công trình lắp đặt điều hòa không khí MS1 tầng 1 &amp; BP2 – MEGA giai đoạn 1</t>
        </is>
      </c>
    </row>
    <row r="10" ht="16" customHeight="1">
      <c r="A10" s="7" t="inlineStr">
        <is>
          <t>Người liên hệ / 联系人:  [Ông/Bà …]   –   ĐT / 电话: […]</t>
        </is>
      </c>
    </row>
    <row r="12" ht="30" customHeight="1">
      <c r="A12" s="9" t="inlineStr">
        <is>
          <t>BLT trân trọng cảm ơn Quý Công ty đã tin tưởng và gửi tới Quý Công ty bảng báo giá như sau:
BLT衷心感谢贵公司的信任，现将本工程报价呈上如下：</t>
        </is>
      </c>
    </row>
    <row r="14" ht="32" customHeight="1">
      <c r="A14" s="10" t="inlineStr">
        <is>
          <t>序号
STT</t>
        </is>
      </c>
      <c r="B14" s="10" t="inlineStr">
        <is>
          <t>分项工程内容
Nội dung hạng mục công trình</t>
        </is>
      </c>
      <c r="C14" s="10" t="inlineStr">
        <is>
          <t>金额 (VNĐ)
Số tiền (VNĐ)</t>
        </is>
      </c>
      <c r="D14" s="10" t="inlineStr">
        <is>
          <t>备注
Ghi chú</t>
        </is>
      </c>
    </row>
    <row r="15" ht="32" customHeight="1">
      <c r="A15" s="11" t="n">
        <v>1</v>
      </c>
      <c r="B15" s="12" t="inlineStr">
        <is>
          <t>BP2制冷机房系统
Hệ thống phòng máy lạnh BP2</t>
        </is>
      </c>
      <c r="C15" s="13">
        <f>'1-BP2 机房系统 Phòng máy lạnh'!I119</f>
        <v/>
      </c>
      <c r="D15" s="14" t="inlineStr">
        <is>
          <t>Chi tiết: sheet 1
明细见第1页</t>
        </is>
      </c>
    </row>
    <row r="16" ht="32" customHeight="1">
      <c r="A16" s="11" t="n">
        <v>2</v>
      </c>
      <c r="B16" s="12" t="inlineStr">
        <is>
          <t>BP2制冷机房智能自控系统
Hệ thống tự động điều khiển thông minh phòng máy lạnh BP2</t>
        </is>
      </c>
      <c r="C16" s="13">
        <f>'2-BP2 自控系统 Tự động ĐK'!I32</f>
        <v/>
      </c>
      <c r="D16" s="14" t="inlineStr">
        <is>
          <t>Chi tiết: sheet 2
明细见第2页</t>
        </is>
      </c>
    </row>
    <row r="17" ht="32" customHeight="1">
      <c r="A17" s="11" t="n">
        <v>3</v>
      </c>
      <c r="B17" s="12" t="inlineStr">
        <is>
          <t>BP2空调末端系统
Hệ thống thiết bị đầu cuối điều hòa BP2</t>
        </is>
      </c>
      <c r="C17" s="13">
        <f>'3-BP2 末端系统 Đầu cuối'!I168</f>
        <v/>
      </c>
      <c r="D17" s="14" t="inlineStr">
        <is>
          <t>Chi tiết: sheet 3
明细见第3页</t>
        </is>
      </c>
    </row>
    <row r="18" ht="32" customHeight="1">
      <c r="A18" s="11" t="n">
        <v>4</v>
      </c>
      <c r="B18" s="12" t="inlineStr">
        <is>
          <t>MS1一楼末端系统
Hệ thống thiết bị đầu cuối MS1 tầng 1</t>
        </is>
      </c>
      <c r="C18" s="13">
        <f>'4-MS1 末端系统 Đầu cuối T1'!I143</f>
        <v/>
      </c>
      <c r="D18" s="14" t="inlineStr">
        <is>
          <t>Chi tiết: sheet 4
明细见第4页</t>
        </is>
      </c>
    </row>
    <row r="19" ht="32" customHeight="1">
      <c r="A19" s="11" t="n">
        <v>5</v>
      </c>
      <c r="B19" s="12" t="inlineStr">
        <is>
          <t>运输费
Chi phí vận chuyển</t>
        </is>
      </c>
      <c r="C19" s="15" t="n"/>
      <c r="D19" s="12" t="n"/>
    </row>
    <row r="20" ht="32" customHeight="1">
      <c r="A20" s="16" t="n">
        <v>6</v>
      </c>
      <c r="B20" s="17" t="inlineStr">
        <is>
          <t>以上工程不含税合计
Tổng cộng các hạng mục trên (chưa bao gồm thuế)</t>
        </is>
      </c>
      <c r="C20" s="18">
        <f>SUM(C15:C19)</f>
        <v/>
      </c>
      <c r="D20" s="17" t="n"/>
    </row>
    <row r="21" ht="32" customHeight="1">
      <c r="A21" s="16" t="n">
        <v>7</v>
      </c>
      <c r="B21" s="17" t="inlineStr">
        <is>
          <t>税金（10%）MEGA为EPE企业
Thuế (10%) MEGA là doanh nghiệp EPE</t>
        </is>
      </c>
      <c r="C21" s="18">
        <f>ROUND(C20*10%,0)</f>
        <v/>
      </c>
      <c r="D21" s="17" t="n"/>
    </row>
    <row r="22" ht="34" customHeight="1">
      <c r="A22" s="19" t="n">
        <v>8</v>
      </c>
      <c r="B22" s="20" t="inlineStr">
        <is>
          <t>项目总成本（不含增值税）
Tổng chi phí dự án (chưa bao gồm thuế GTGT)</t>
        </is>
      </c>
      <c r="C22" s="21">
        <f>C20+C21</f>
        <v/>
      </c>
      <c r="D22" s="20" t="n"/>
    </row>
    <row r="24" ht="20" customHeight="1">
      <c r="A24" s="22" t="inlineStr">
        <is>
          <t>备注及报价条款  /  GHI CHÚ VÀ ĐIỀU KHOẢN BÁO GIÁ</t>
        </is>
      </c>
    </row>
    <row r="25" ht="42.5" customHeight="1">
      <c r="A25" s="23" t="inlineStr">
        <is>
          <t>1. 工程范围：MS1一楼&amp;BP2的室内空调安装、管道安装及保温、空调主机安装、空调配电（详见清单明细）、高效机房及控制。
    Phạm vi công trình: Lắp đặt điều hòa trong nhà, lắp đặt đường ống và bảo ôn, lắp đặt máy chính điều hòa, cấp điện cho điều hòa (xem chi tiết trong bảng khối lượng), phòng máy hiệu suất cao và điều khiển của MS1 tầng 1 &amp; BP2.</t>
        </is>
      </c>
    </row>
    <row r="26" ht="30" customHeight="1">
      <c r="A26" s="23" t="inlineStr">
        <is>
          <t>2. 工程量按实际结算。
    Khối lượng công trình quyết toán theo thực tế.</t>
        </is>
      </c>
    </row>
    <row r="27" ht="30" customHeight="1">
      <c r="A27" s="23" t="inlineStr">
        <is>
          <t>3. 本项目所有电缆均为铜电缆。
    Toàn bộ cáp điện của dự án này đều là cáp đồng.</t>
        </is>
      </c>
    </row>
    <row r="28" ht="30" customHeight="1">
      <c r="A28" s="23" t="inlineStr">
        <is>
          <t>4. 设备、材料品牌详见《品牌表》。
    Thương hiệu thiết bị, vật tư xem chi tiết tại sheet "5-品牌表 Thương hiệu".</t>
        </is>
      </c>
    </row>
    <row r="29" ht="30" customHeight="1">
      <c r="A29" s="23" t="inlineStr">
        <is>
          <t>5. 报价有效期：自报价之日起30天。
    Hiệu lực báo giá: 30 ngày kể từ ngày báo giá.</t>
        </is>
      </c>
    </row>
    <row r="30" ht="30" customHeight="1">
      <c r="A30" s="23" t="inlineStr">
        <is>
          <t>6. 施工工期：[..]天。
    Thời gian thi công: [..] ngày.</t>
        </is>
      </c>
    </row>
    <row r="31" ht="30" customHeight="1">
      <c r="A31" s="23" t="inlineStr">
        <is>
          <t>7. 付款方式：[按合同约定]。
    Phương thức thanh toán: [theo thỏa thuận trong hợp đồng].</t>
        </is>
      </c>
    </row>
    <row r="33">
      <c r="A33" s="24" t="inlineStr">
        <is>
          <t>客户确认 / KHÁCH HÀNG XÁC NHẬN</t>
        </is>
      </c>
      <c r="C33" s="24" t="inlineStr">
        <is>
          <t>报价单位代表  /  ĐẠI DIỆN ĐƠN VỊ BÁO GIÁ</t>
        </is>
      </c>
    </row>
    <row r="34">
      <c r="A34" s="25" t="inlineStr">
        <is>
          <t>（签字盖章 / Ký, ghi rõ họ tên, đóng dấu）</t>
        </is>
      </c>
      <c r="C34" s="25" t="inlineStr">
        <is>
          <t>（签字盖章 / Ký, ghi rõ họ tên, đóng dấu）</t>
        </is>
      </c>
    </row>
    <row r="35">
      <c r="C35" s="26" t="n"/>
    </row>
    <row r="36">
      <c r="C36" s="26" t="n"/>
    </row>
    <row r="37">
      <c r="C37" s="26" t="n"/>
    </row>
    <row r="38">
      <c r="C38" s="24" t="inlineStr">
        <is>
          <t>[Họ và tên]</t>
        </is>
      </c>
    </row>
  </sheetData>
  <mergeCells count="25">
    <mergeCell ref="A5:D5"/>
    <mergeCell ref="C34:D34"/>
    <mergeCell ref="A8:D8"/>
    <mergeCell ref="C33:D33"/>
    <mergeCell ref="A29:D29"/>
    <mergeCell ref="A10:D10"/>
    <mergeCell ref="A28:D28"/>
    <mergeCell ref="C35:D35"/>
    <mergeCell ref="A9:D9"/>
    <mergeCell ref="A31:D31"/>
    <mergeCell ref="A30:D30"/>
    <mergeCell ref="A24:D24"/>
    <mergeCell ref="A1:D1"/>
    <mergeCell ref="A6:D6"/>
    <mergeCell ref="A33:B33"/>
    <mergeCell ref="C36:D36"/>
    <mergeCell ref="A25:D25"/>
    <mergeCell ref="A27:D27"/>
    <mergeCell ref="C38:D38"/>
    <mergeCell ref="A12:D12"/>
    <mergeCell ref="A3:D3"/>
    <mergeCell ref="A26:D26"/>
    <mergeCell ref="C37:D37"/>
    <mergeCell ref="A2:D2"/>
    <mergeCell ref="A34:B34"/>
  </mergeCells>
  <printOptions horizontalCentered="1"/>
  <pageMargins left="0.4" right="0.4" top="0.5" bottom="0.6" header="0.5" footer="0.5"/>
  <pageSetup orientation="portrait" paperSize="9" fitToHeight="0" fitToWidth="1"/>
  <headerFooter>
    <oddHeader/>
    <oddFooter>&amp;L&amp;8 BLT – Báo giá 报价单 MEGA&amp;R&amp;8 Trang 页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119"/>
  <sheetViews>
    <sheetView showGridLines="0" workbookViewId="0">
      <pane ySplit="5" topLeftCell="A6" activePane="bottomLeft" state="frozen"/>
      <selection pane="bottomLeft" activeCell="A1" sqref="A1"/>
    </sheetView>
  </sheetViews>
  <sheetFormatPr baseColWidth="8" defaultRowHeight="15"/>
  <cols>
    <col width="6" customWidth="1" min="1" max="1"/>
    <col width="28" customWidth="1" min="2" max="2"/>
    <col width="64" customWidth="1" min="3" max="3"/>
    <col width="9" customWidth="1" min="4" max="4"/>
    <col width="11" customWidth="1" min="5" max="5"/>
    <col width="15" customWidth="1" min="6" max="6"/>
    <col width="15" customWidth="1" min="7" max="7"/>
    <col width="16" customWidth="1" min="8" max="8"/>
    <col width="19" customWidth="1" min="9" max="9"/>
    <col width="26" customWidth="1" min="10" max="10"/>
  </cols>
  <sheetData>
    <row r="1" ht="22" customHeight="1">
      <c r="A1" s="27" t="inlineStr">
        <is>
          <t>[CÔNG TY TNHH / CỔ PHẦN …] BLT</t>
        </is>
      </c>
      <c r="B1" s="28" t="n"/>
      <c r="C1" s="28" t="n"/>
      <c r="D1" s="28" t="n"/>
      <c r="E1" s="28" t="n"/>
      <c r="F1" s="28" t="n"/>
      <c r="G1" s="28" t="n"/>
      <c r="H1" s="29" t="inlineStr">
        <is>
          <t>BÁO GIÁ 报价单 – Số 编号: BG-BLT-2026/[..]</t>
        </is>
      </c>
      <c r="I1" s="28" t="n"/>
      <c r="J1" s="28" t="n"/>
    </row>
    <row r="2" ht="34" customHeight="1">
      <c r="A2" s="30" t="inlineStr">
        <is>
          <t>分部分项工程量清单与计价表
Bảng khối lượng và đơn giá các hạng mục công trình</t>
        </is>
      </c>
    </row>
    <row r="3" ht="34" customHeight="1">
      <c r="A3" s="31" t="inlineStr">
        <is>
          <t>工程名称：BP2制冷机房系统工程
Tên công trình: Công trình hệ thống phòng máy lạnh BP2</t>
        </is>
      </c>
    </row>
    <row r="4" ht="30" customHeight="1">
      <c r="A4" s="32" t="inlineStr">
        <is>
          <t>序号
STT</t>
        </is>
      </c>
      <c r="B4" s="32" t="inlineStr">
        <is>
          <t>项目名称
Tên hạng mục</t>
        </is>
      </c>
      <c r="C4" s="32" t="inlineStr">
        <is>
          <t>项目特征描述
Mô tả đặc tính hạng mục</t>
        </is>
      </c>
      <c r="D4" s="32" t="inlineStr">
        <is>
          <t>计量单位
ĐVT</t>
        </is>
      </c>
      <c r="E4" s="32" t="inlineStr">
        <is>
          <t>工程量
Khối lượng</t>
        </is>
      </c>
      <c r="F4" s="32" t="inlineStr">
        <is>
          <t>综合单价组成 / Cấu thành đơn giá tổng hợp (VNĐ)</t>
        </is>
      </c>
      <c r="G4" s="32" t="n"/>
      <c r="H4" s="32" t="inlineStr">
        <is>
          <t>综合单价
Đơn giá tổng hợp
(VNĐ)</t>
        </is>
      </c>
      <c r="I4" s="32" t="inlineStr">
        <is>
          <t>合价
Thành tiền
(VNĐ)</t>
        </is>
      </c>
      <c r="J4" s="32" t="inlineStr">
        <is>
          <t>备注/品牌
Ghi chú / Thương hiệu</t>
        </is>
      </c>
    </row>
    <row r="5" ht="30" customHeight="1">
      <c r="A5" s="32" t="n"/>
      <c r="B5" s="32" t="n"/>
      <c r="C5" s="32" t="n"/>
      <c r="D5" s="32" t="n"/>
      <c r="E5" s="32" t="n"/>
      <c r="F5" s="32" t="inlineStr">
        <is>
          <t>材料单价
Đơn giá vật tư</t>
        </is>
      </c>
      <c r="G5" s="32" t="inlineStr">
        <is>
          <t>人工单价
Đơn giá nhân công</t>
        </is>
      </c>
      <c r="H5" s="32" t="n"/>
      <c r="I5" s="32" t="n"/>
      <c r="J5" s="32" t="n"/>
    </row>
    <row r="6" ht="28" customHeight="1">
      <c r="A6" s="33" t="inlineStr">
        <is>
          <t>一、
I.</t>
        </is>
      </c>
      <c r="B6" s="34" t="inlineStr">
        <is>
          <t>空调设备 / Thiết bị điều hòa</t>
        </is>
      </c>
      <c r="C6" s="34" t="n"/>
      <c r="D6" s="34" t="n"/>
      <c r="E6" s="34" t="n"/>
      <c r="F6" s="34" t="n"/>
      <c r="G6" s="34" t="n"/>
      <c r="H6" s="34" t="n"/>
      <c r="I6" s="34" t="n"/>
      <c r="J6" s="34" t="n"/>
    </row>
    <row r="7" ht="396" customHeight="1">
      <c r="A7" s="11" t="n">
        <v>1</v>
      </c>
      <c r="B7" s="12" t="inlineStr">
        <is>
          <t>水冷变频离心式冷水机组
Cụm máy làm lạnh nước (chiller) ly tâm biến tần, giải nhiệt bằng nước
CH-01</t>
        </is>
      </c>
      <c r="C7" s="35" t="inlineStr">
        <is>
          <t>1.名称:水冷变频离心式冷水机组
1. Tên: Cụm máy làm lạnh nước (chiller) ly tâm biến tần, giải nhiệt bằng nước
2.编号:CH-01
2. Mã hiệu: CH-01
制冷量:2461kW(700RT)
Công suất lạnh: 2461kW (700RT)
功率:441.3kW
Công suất điện: 441.3kW
冷冻水流量:422.64m3/h
Lưu lượng nước lạnh: 422.64m3/h
冷却水流量:501.12m3/h
Lưu lượng nước giải nhiệt: 501.12m3/h
冷冻水进出水温:12/7℃
Nhiệt độ nước lạnh vào/ra: 12/7℃
冷却水进出水温:32/37℃
Nhiệt độ nước giải nhiệt vào/ra: 32/37℃
COP值:用户工况5.57，国标工况6.07
Chỉ số COP: điều kiện vận hành của người dùng 5.57, điều kiện tiêu chuẩn quốc gia (GB) 6.07
IPLV值:用户工况9.3，国标工况8.0
Chỉ số IPLV: điều kiện vận hành của người dùng 9.3, điều kiện tiêu chuẩn quốc gia (GB) 8.0
蒸发器：压降74kPa，承压1.0MPa
Thiết bị bay hơi: tổn thất áp 74kPa, áp lực chịu được 1.0MPa
冷凝器：压降76KPa，承压1.0MPa
Thiết bị ngưng tụ: tổn thất áp 76KPa, áp lực chịu được 1.0MPa
输入电压：380V/50Hz
Điện áp đầu vào: 380V/50Hz
采用环保冷媒
Sử dụng môi chất lạnh thân thiện môi trường
3.含弹簧减震器
3. Gồm bộ giảm chấn lò xo
4.其他:符合设计图纸以及施工规范要求
4. Khác: Phù hợp yêu cầu của bản vẽ thiết kế và quy phạm thi công</t>
        </is>
      </c>
      <c r="D7" s="11" t="inlineStr">
        <is>
          <t>台
Máy</t>
        </is>
      </c>
      <c r="E7" s="36" t="n">
        <v>1</v>
      </c>
      <c r="F7" s="15" t="n"/>
      <c r="G7" s="15" t="n"/>
      <c r="H7" s="15">
        <f>F7+G7</f>
        <v/>
      </c>
      <c r="I7" s="13">
        <f>E7*H7</f>
        <v/>
      </c>
      <c r="J7" s="35" t="inlineStr">
        <is>
          <t>利旧
Tận dụng thiết bị cũ</t>
        </is>
      </c>
    </row>
    <row r="8" ht="407.5" customHeight="1">
      <c r="A8" s="11" t="n">
        <v>2</v>
      </c>
      <c r="B8" s="12" t="inlineStr">
        <is>
          <t>水冷磁悬浮变频离心式冷水机组
Cụm máy làm lạnh nước (chiller) ly tâm biến tần ổ đệm từ, giải nhiệt bằng nước
CH-01～02</t>
        </is>
      </c>
      <c r="C8" s="35" t="inlineStr">
        <is>
          <t>1.名称:水冷磁悬浮变频离心式冷水机组
1. Tên: Cụm máy làm lạnh nước (chiller) ly tâm biến tần ổ đệm từ, giải nhiệt bằng nước
2.编号:CH-01～02
2. Mã hiệu: CH-01～02
制冷量:2648kW(753RT)
Công suất lạnh: 2648kW (753RT)
功率:448.9kW
Công suất điện: 448.9kW
冷冻水流量:454.68m3/h
Lưu lượng nước lạnh: 454.68m3/h
冷却水流量:538.2m3/h
Lưu lượng nước giải nhiệt: 538.2m3/h
冷冻水进出水温:12/7℃
Nhiệt độ nước lạnh vào/ra: 12/7℃
冷却水进出水温:32/37℃
Nhiệt độ nước giải nhiệt vào/ra: 32/37℃
COP值:用户工况≥5.8，国标工况≥6.4
Chỉ số COP: điều kiện vận hành của người dùng ≥5.8, điều kiện tiêu chuẩn quốc gia (GB) ≥6.4
IPLV值:用户工况≥10.0，国标工况≥9.0
Chỉ số IPLV: điều kiện vận hành của người dùng ≥10.0, điều kiện tiêu chuẩn quốc gia (GB) ≥9.0
蒸发器：压降≤75kPa，承压1.0MPa
Thiết bị bay hơi: tổn thất áp ≤75kPa, áp lực chịu được 1.0MPa
冷凝器：压降≤60KPa，承压1.0MPa
Thiết bị ngưng tụ: tổn thất áp ≤60KPa, áp lực chịu được 1.0MPa
输入电压：380V/50Hz
Điện áp đầu vào: 380V/50Hz
采用环保冷媒
Sử dụng môi chất lạnh thân thiện môi trường
3.含弹簧减震器
3. Gồm bộ giảm chấn lò xo
4.其他:符合设计图纸以及施工规范要求
4. Khác: Phù hợp yêu cầu của bản vẽ thiết kế và quy phạm thi công</t>
        </is>
      </c>
      <c r="D8" s="11" t="inlineStr">
        <is>
          <t>台
Máy</t>
        </is>
      </c>
      <c r="E8" s="36" t="n">
        <v>2</v>
      </c>
      <c r="F8" s="15" t="n"/>
      <c r="G8" s="15" t="n"/>
      <c r="H8" s="15">
        <f>F8+G8</f>
        <v/>
      </c>
      <c r="I8" s="13">
        <f>E8*H8</f>
        <v/>
      </c>
      <c r="J8" s="35" t="inlineStr">
        <is>
          <t>麦克维尔
McQuay (麦克维尔)</t>
        </is>
      </c>
    </row>
    <row r="9" ht="212" customHeight="1">
      <c r="A9" s="11" t="n">
        <v>3</v>
      </c>
      <c r="B9" s="12" t="inlineStr">
        <is>
          <t>冷冻水泵
Bơm nước lạnh
CHWP-01～04</t>
        </is>
      </c>
      <c r="C9" s="35" t="inlineStr">
        <is>
          <t>1.名称:冷冻水泵
1. Tên: Bơm nước lạnh
2.编号:CHWP-01～04
2. Mã hiệu: CHWP-01～04
卧式离心泵
Bơm ly tâm trục ngang
流量:500m3/h，扬程:40mH2O，功率:75kW
Lưu lượng: 500m3/h, cột áp: 40mH2O, công suất: 75kW
效率≥80%
Hiệu suất ≥80%
输入电压：380V/50Hz
Điện áp đầu vào: 380V/50Hz
3.电机：变频电机
3. Động cơ: Động cơ biến tần
4.含弹簧减震器
4. Gồm bộ giảm chấn lò xo
5.其他:符合设计图纸以及施工规范要求
5. Khác: Phù hợp yêu cầu của bản vẽ thiết kế và quy phạm thi công</t>
        </is>
      </c>
      <c r="D9" s="11" t="inlineStr">
        <is>
          <t>台
Máy</t>
        </is>
      </c>
      <c r="E9" s="36" t="n">
        <v>4</v>
      </c>
      <c r="F9" s="15" t="n"/>
      <c r="G9" s="15" t="n"/>
      <c r="H9" s="15">
        <f>F9+G9</f>
        <v/>
      </c>
      <c r="I9" s="13">
        <f>E9*H9</f>
        <v/>
      </c>
      <c r="J9" s="35" t="inlineStr">
        <is>
          <t>Ebara,南方、凯泉、白云
Ebara, CNP Nanfang (南方), Kaiquan (凯泉), Baiyun (白云)</t>
        </is>
      </c>
    </row>
    <row r="10" ht="212" customHeight="1">
      <c r="A10" s="11" t="n">
        <v>4</v>
      </c>
      <c r="B10" s="12" t="inlineStr">
        <is>
          <t>冷却水泵
Bơm nước giải nhiệt
CWP-01～04</t>
        </is>
      </c>
      <c r="C10" s="35" t="inlineStr">
        <is>
          <t>1.名称:冷却水泵
1. Tên: Bơm nước giải nhiệt
2.编号:CWP-01～04
2. Mã hiệu: CWP-01～04
立式离心泵
Bơm ly tâm trục đứng
流量:600m3/h，扬程:24mH2O，功率:55kW
Lưu lượng: 600m3/h, cột áp: 24mH2O, công suất: 55kW
效率≥80%
Hiệu suất ≥80%
输入电压：380V/50Hz
Điện áp đầu vào: 380V/50Hz
3.电机：变频电机
3. Động cơ: Động cơ biến tần
4.含弹簧减震器
4. Gồm bộ giảm chấn lò xo
5.其他:符合设计图纸以及施工规范要求
5. Khác: Phù hợp yêu cầu của bản vẽ thiết kế và quy phạm thi công</t>
        </is>
      </c>
      <c r="D10" s="11" t="inlineStr">
        <is>
          <t>台
Máy</t>
        </is>
      </c>
      <c r="E10" s="36" t="n">
        <v>4</v>
      </c>
      <c r="F10" s="15" t="n"/>
      <c r="G10" s="15" t="n"/>
      <c r="H10" s="15">
        <f>F10+G10</f>
        <v/>
      </c>
      <c r="I10" s="13">
        <f>E10*H10</f>
        <v/>
      </c>
      <c r="J10" s="35" t="inlineStr">
        <is>
          <t>Ebara,南方、凯泉、白云
Ebara, CNP Nanfang (南方), Kaiquan (凯泉), Baiyun (白云)</t>
        </is>
      </c>
    </row>
    <row r="11" ht="177.5" customHeight="1">
      <c r="A11" s="11" t="n">
        <v>5</v>
      </c>
      <c r="B11" s="12" t="inlineStr">
        <is>
          <t>低噪横流式方形冷却塔
Tháp giải nhiệt vuông dòng ngang độ ồn thấp
CT-01～03</t>
        </is>
      </c>
      <c r="C11" s="35" t="inlineStr">
        <is>
          <t>1.名称:低噪横流式方形冷却塔
1. Tên: Tháp giải nhiệt vuông dòng ngang độ ồn thấp
2.编号:CT-01～03
2. Mã hiệu: CT-01～03
流量:900m3/h，进出水温度:37/32℃，湿球温度:28℃，功率:15kW*2
Lưu lượng: 900m3/h, nhiệt độ nước vào/ra: 37/32℃, nhiệt độ bầu ướt: 28℃, công suất: 15kW*2
输入电压：380V/50Hz
Điện áp đầu vào: 380V/50Hz
3.材质:玻璃钢
3. Vật liệu: Nhựa composite cốt sợi thủy tinh (FRP)
4.电机:变频电机
4. Động cơ: Động cơ biến tần
5.其他:符合设计图纸以及施工规范要求
5. Khác: Phù hợp yêu cầu của bản vẽ thiết kế và quy phạm thi công</t>
        </is>
      </c>
      <c r="D11" s="11" t="inlineStr">
        <is>
          <t>台
Máy</t>
        </is>
      </c>
      <c r="E11" s="36" t="n">
        <v>2</v>
      </c>
      <c r="F11" s="15" t="n"/>
      <c r="G11" s="15" t="n"/>
      <c r="H11" s="15">
        <f>F11+G11</f>
        <v/>
      </c>
      <c r="I11" s="13">
        <f>E11*H11</f>
        <v/>
      </c>
      <c r="J11" s="35" t="inlineStr">
        <is>
          <t>良机、洲菱
Liangchi (良机), Zhouling (洲菱)</t>
        </is>
      </c>
    </row>
    <row r="12" ht="39.5" customHeight="1">
      <c r="A12" s="11" t="n">
        <v>6</v>
      </c>
      <c r="B12" s="12" t="inlineStr">
        <is>
          <t>低噪横流式方形冷却塔
Tháp giải nhiệt vuông dòng ngang độ ồn thấp</t>
        </is>
      </c>
      <c r="C12" s="35" t="n"/>
      <c r="D12" s="11" t="inlineStr">
        <is>
          <t>台
Máy</t>
        </is>
      </c>
      <c r="E12" s="36" t="n">
        <v>1</v>
      </c>
      <c r="F12" s="15" t="n"/>
      <c r="G12" s="15" t="n"/>
      <c r="H12" s="15">
        <f>F12+G12</f>
        <v/>
      </c>
      <c r="I12" s="13">
        <f>E12*H12</f>
        <v/>
      </c>
      <c r="J12" s="35" t="inlineStr">
        <is>
          <t>利旧，拆装及搬运（约30公里）
Tận dụng thiết bị cũ, tháo lắp và vận chuyển (khoảng 30 km)</t>
        </is>
      </c>
    </row>
    <row r="13" ht="223.5" customHeight="1">
      <c r="A13" s="11" t="n">
        <v>7</v>
      </c>
      <c r="B13" s="12" t="inlineStr">
        <is>
          <t>自动在线清洗装置
Thiết bị làm sạch trực tuyến tự động
ZXQ-01～03</t>
        </is>
      </c>
      <c r="C13" s="35" t="inlineStr">
        <is>
          <t>1.名称:自动在线清洗装置
1. Tên: Thiết bị làm sạch trực tuyến tự động
2.编号:ZXQ-01～03
2. Mã hiệu: ZXQ-01～03
收球器口径DN300，最新无动力收球系统，不锈钢动力泵，胶球不经过水泵，无阀设计，收球机标配检修窗口，碳钢发球机，碳钢收球器，带水流感应功能，设备功率：2.2kW，输入电压：380V/50Hz，PLC触摸屏正泰元器件室内控制箱，带485远程通讯功能
Đường kính bộ thu bóng DN300, hệ thống thu bóng không dùng động lực thế hệ mới nhất, bơm động lực bằng thép không gỉ, bóng cao su không đi qua bơm nước, thiết kế không van, máy thu bóng trang bị tiêu chuẩn cửa kiểm tra bảo trì, máy phát bóng bằng thép cacbon, bộ thu bóng bằng thép cacbon, có chức năng cảm biến dòng nước, công suất thiết bị: 2.2kW, điện áp đầu vào: 380V/50Hz, hộp điều khiển trong nhà dùng màn hình cảm ứng PLC và linh kiện CHINT (正泰), có chức năng truyền thông từ xa 485
3.安装方式：旁通安装
3. Phương thức lắp đặt: Lắp đặt kiểu nhánh rẽ (bypass)
4.设计压力1.0MPa
4. Áp lực thiết kế 1.0MPa
5.其他:符合设计图纸以及施工规范要求
5. Khác: Phù hợp yêu cầu của bản vẽ thiết kế và quy phạm thi công</t>
        </is>
      </c>
      <c r="D13" s="11" t="inlineStr">
        <is>
          <t>台
Máy</t>
        </is>
      </c>
      <c r="E13" s="36" t="n">
        <v>3</v>
      </c>
      <c r="F13" s="15" t="n"/>
      <c r="G13" s="15" t="n"/>
      <c r="H13" s="15">
        <f>F13+G13</f>
        <v/>
      </c>
      <c r="I13" s="13">
        <f>E13*H13</f>
        <v/>
      </c>
      <c r="J13" s="35" t="n"/>
    </row>
    <row r="14" ht="189" customHeight="1">
      <c r="A14" s="11" t="n">
        <v>8</v>
      </c>
      <c r="B14" s="12" t="inlineStr">
        <is>
          <t>全自动加药装置
Thiết bị châm hóa chất hoàn toàn tự động
DOD-01～02</t>
        </is>
      </c>
      <c r="C14" s="35" t="inlineStr">
        <is>
          <t>1.名称:全自动加药装置
1. Tên: Thiết bị châm hóa chất hoàn toàn tự động
2.编号:DOD-01～02
2. Mã hiệu: DOD-01～02
双桶双泵，200L药桶，计量泵0-9L/H可调节，带PH值，电导率在线监测，设备功率：0.22kW，输入电压：220V/50Hz，PLC触摸屏正泰元器件室内控制箱，带485远程通讯功能
Hai thùng hai bơm, thùng hóa chất 200L, bơm định lượng điều chỉnh được 0-9L/H, có giám sát trực tuyến giá trị pH và độ dẫn điện, công suất thiết bị: 0.22kW, điện áp đầu vào: 220V/50Hz, hộp điều khiển trong nhà dùng màn hình cảm ứng PLC và linh kiện CHINT (正泰), có chức năng truyền thông từ xa 485
3.安装方式：DN25旁通安装
3. Phương thức lắp đặt: Lắp đặt kiểu nhánh rẽ (bypass) DN25
4.设计压力1.0MPa
4. Áp lực thiết kế 1.0MPa
5.其他:符合设计图纸以及施工规范要求
5. Khác: Phù hợp yêu cầu của bản vẽ thiết kế và quy phạm thi công</t>
        </is>
      </c>
      <c r="D14" s="11" t="inlineStr">
        <is>
          <t>台
Máy</t>
        </is>
      </c>
      <c r="E14" s="36" t="n">
        <v>2</v>
      </c>
      <c r="F14" s="15" t="n"/>
      <c r="G14" s="15" t="n"/>
      <c r="H14" s="15">
        <f>F14+G14</f>
        <v/>
      </c>
      <c r="I14" s="13">
        <f>E14*H14</f>
        <v/>
      </c>
      <c r="J14" s="35" t="n"/>
    </row>
    <row r="15" ht="97" customHeight="1">
      <c r="A15" s="11" t="n">
        <v>9</v>
      </c>
      <c r="B15" s="12" t="inlineStr">
        <is>
          <t>膨胀水箱
Bình giãn nở</t>
        </is>
      </c>
      <c r="C15" s="35" t="inlineStr">
        <is>
          <t>1.类型:膨胀水箱
1. Loại: Bình giãn nở
2.有效容积:2.0m3
2. Dung tích hữu ích: 2.0m3
3.材质:304不锈钢
3. Vật liệu: Thép không gỉ 304
4.符合设计图纸以及施工规范要求
4. Phù hợp yêu cầu của bản vẽ thiết kế và quy phạm thi công</t>
        </is>
      </c>
      <c r="D15" s="11" t="inlineStr">
        <is>
          <t>台
Máy</t>
        </is>
      </c>
      <c r="E15" s="36" t="n">
        <v>1</v>
      </c>
      <c r="F15" s="15" t="n"/>
      <c r="G15" s="15" t="n"/>
      <c r="H15" s="15">
        <f>F15+G15</f>
        <v/>
      </c>
      <c r="I15" s="13">
        <f>E15*H15</f>
        <v/>
      </c>
      <c r="J15" s="35" t="inlineStr">
        <is>
          <t>国产优质
Hàng sản xuất trong nước chất lượng cao</t>
        </is>
      </c>
    </row>
    <row r="16" ht="131.5" customHeight="1">
      <c r="A16" s="11" t="n">
        <v>10</v>
      </c>
      <c r="B16" s="12" t="inlineStr">
        <is>
          <t>卧式明装风机盘管
Dàn quạt lạnh (FCU) nằm ngang lắp nổi
FCU-238M</t>
        </is>
      </c>
      <c r="C16" s="35" t="inlineStr">
        <is>
          <t>1.名称:卧式明装风机盘管
1. Tên: Dàn quạt lạnh (FCU) nằm ngang lắp nổi
2.编号:FCU-238M
2. Mã hiệu: FCU-238M
风量2380m3/h，制冷量12.6kW，输入功率221W，输入电压：220V/50Hz
Lưu lượng gió 2380m3/h, công suất lạnh 12.6kW, công suất đầu vào 221W, điện áp đầu vào: 220V/50Hz
3.安装形式:吊顶式
3. Hình thức lắp đặt: Treo trần
4.其他:符合设计图纸以及施工规范要求
4. Khác: Phù hợp yêu cầu của bản vẽ thiết kế và quy phạm thi công</t>
        </is>
      </c>
      <c r="D16" s="11" t="inlineStr">
        <is>
          <t>台
Máy</t>
        </is>
      </c>
      <c r="E16" s="36" t="n">
        <v>3</v>
      </c>
      <c r="F16" s="15" t="n"/>
      <c r="G16" s="15" t="n"/>
      <c r="H16" s="15">
        <f>F16+G16</f>
        <v/>
      </c>
      <c r="I16" s="13">
        <f>E16*H16</f>
        <v/>
      </c>
      <c r="J16" s="35" t="inlineStr">
        <is>
          <t>麦克维尔、申菱
McQuay (麦克维尔), Shenling (申菱)</t>
        </is>
      </c>
    </row>
    <row r="17">
      <c r="A17" s="37" t="n"/>
      <c r="B17" s="38" t="inlineStr">
        <is>
          <t>小计 / Cộng</t>
        </is>
      </c>
      <c r="C17" s="37" t="n"/>
      <c r="D17" s="37" t="n"/>
      <c r="E17" s="37" t="n"/>
      <c r="F17" s="37" t="n"/>
      <c r="G17" s="37" t="n"/>
      <c r="H17" s="37" t="n"/>
      <c r="I17" s="39">
        <f>SUM(I7:I16)</f>
        <v/>
      </c>
      <c r="J17" s="37" t="n"/>
    </row>
    <row r="18" ht="28" customHeight="1">
      <c r="A18" s="33" t="inlineStr">
        <is>
          <t>二、
II.</t>
        </is>
      </c>
      <c r="B18" s="34" t="inlineStr">
        <is>
          <t>空调水系统 / Hệ thống nước điều hòa</t>
        </is>
      </c>
      <c r="C18" s="34" t="n"/>
      <c r="D18" s="34" t="n"/>
      <c r="E18" s="34" t="n"/>
      <c r="F18" s="34" t="n"/>
      <c r="G18" s="34" t="n"/>
      <c r="H18" s="34" t="n"/>
      <c r="I18" s="34" t="n"/>
      <c r="J18" s="34" t="n"/>
    </row>
    <row r="19" ht="189" customHeight="1">
      <c r="A19" s="11" t="n">
        <v>11</v>
      </c>
      <c r="B19" s="12" t="inlineStr">
        <is>
          <t>集水器
Bộ góp nước hồi (collector)</t>
        </is>
      </c>
      <c r="C19" s="35" t="inlineStr">
        <is>
          <t>1.名称:集水器
1. Tên: Bộ góp nước hồi (collector)
2.规格:DN1000*6000
2. Quy cách: DN1000*6000
3.安装形式:落地式（现场制作）
3. Hình thức lắp đặt: Đặt sàn (chế tạo tại hiện trường)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6.保温层:难燃(B1级)柔性泡沫橡塑δ=60mm
6. Lớp bảo ôn: Cao su-nhựa xốp mềm khó cháy (cấp B1) δ=60mm
7.含附件
7. Gồm phụ kiện
8.其他:符合设计图纸以及施工规范要求
8. Khác: Phù hợp yêu cầu của bản vẽ thiết kế và quy phạm thi công</t>
        </is>
      </c>
      <c r="D19" s="11" t="inlineStr">
        <is>
          <t>台
Máy</t>
        </is>
      </c>
      <c r="E19" s="36" t="n">
        <v>1</v>
      </c>
      <c r="F19" s="15" t="n"/>
      <c r="G19" s="15" t="n"/>
      <c r="H19" s="15">
        <f>F19+G19</f>
        <v/>
      </c>
      <c r="I19" s="13">
        <f>E19*H19</f>
        <v/>
      </c>
      <c r="J19" s="35" t="n"/>
    </row>
    <row r="20" ht="189" customHeight="1">
      <c r="A20" s="11" t="n">
        <v>12</v>
      </c>
      <c r="B20" s="12" t="inlineStr">
        <is>
          <t>分水器
Bộ chia nước cấp (distributor)</t>
        </is>
      </c>
      <c r="C20" s="35" t="inlineStr">
        <is>
          <t>1.名称:分水器
1. Tên: Bộ chia nước cấp (distributor)
2.规格:DN1000*6000
2. Quy cách: DN1000*6000
3.安装形式:落地式（现场制作）
3. Hình thức lắp đặt: Đặt sàn (chế tạo tại hiện trường)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6.保温层:难燃(B1级)柔性泡沫橡塑δ=60mm
6. Lớp bảo ôn: Cao su-nhựa xốp mềm khó cháy (cấp B1) δ=60mm
7.含附件
7. Gồm phụ kiện
8.其他:符合设计图纸以及施工规范要求
8. Khác: Phù hợp yêu cầu của bản vẽ thiết kế và quy phạm thi công</t>
        </is>
      </c>
      <c r="D20" s="11" t="inlineStr">
        <is>
          <t>台
Máy</t>
        </is>
      </c>
      <c r="E20" s="36" t="n">
        <v>1</v>
      </c>
      <c r="F20" s="15" t="n"/>
      <c r="G20" s="15" t="n"/>
      <c r="H20" s="15">
        <f>F20+G20</f>
        <v/>
      </c>
      <c r="I20" s="13">
        <f>E20*H20</f>
        <v/>
      </c>
      <c r="J20" s="35" t="n"/>
    </row>
    <row r="21" ht="189" customHeight="1">
      <c r="A21" s="11" t="n">
        <v>13</v>
      </c>
      <c r="B21" s="12" t="inlineStr">
        <is>
          <t>热镀锌螺旋钢管
Ống thép xoắn mạ kẽm nhúng nóng</t>
        </is>
      </c>
      <c r="C21" s="35" t="inlineStr">
        <is>
          <t>1.材质:热镀锌螺旋钢管
1. Vật liệu: Ống thép xoắn mạ kẽm nhúng nóng
2.规格:DN500*9
2. Quy cách: DN500*9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6.保温层:难燃(B1级)柔性泡沫橡塑δ=50mm
6. Lớp bảo ôn: Cao su-nhựa xốp mềm khó cháy (cấp B1) δ=50mm
7.含连接管件
7. Gồm phụ kiện nối ống
8.其他:符合设计图纸以及施工规范要求
8. Khác: Phù hợp yêu cầu của bản vẽ thiết kế và quy phạm thi công</t>
        </is>
      </c>
      <c r="D21" s="11" t="inlineStr">
        <is>
          <t>m</t>
        </is>
      </c>
      <c r="E21" s="36" t="n">
        <v>36</v>
      </c>
      <c r="F21" s="15" t="n"/>
      <c r="G21" s="15" t="n"/>
      <c r="H21" s="15">
        <f>F21+G21</f>
        <v/>
      </c>
      <c r="I21" s="13">
        <f>E21*H21</f>
        <v/>
      </c>
      <c r="J21" s="35" t="n"/>
    </row>
    <row r="22" ht="189" customHeight="1">
      <c r="A22" s="11" t="n">
        <v>14</v>
      </c>
      <c r="B22" s="12" t="inlineStr">
        <is>
          <t>热镀锌螺旋钢管
Ống thép xoắn mạ kẽm nhúng nóng</t>
        </is>
      </c>
      <c r="C22" s="35" t="inlineStr">
        <is>
          <t>1.材质:热镀锌螺旋钢管
1. Vật liệu: Ống thép xoắn mạ kẽm nhúng nóng
2.规格:DN350*7
2. Quy cách: DN350*7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6.保温层:难燃(B1级)柔性泡沫橡塑δ=50mm
6. Lớp bảo ôn: Cao su-nhựa xốp mềm khó cháy (cấp B1) δ=50mm
7.含连接管件
7. Gồm phụ kiện nối ống
8.其他:符合设计图纸以及施工规范要求
8. Khác: Phù hợp yêu cầu của bản vẽ thiết kế và quy phạm thi công</t>
        </is>
      </c>
      <c r="D22" s="11" t="inlineStr">
        <is>
          <t>m</t>
        </is>
      </c>
      <c r="E22" s="36" t="n">
        <v>6</v>
      </c>
      <c r="F22" s="15" t="n"/>
      <c r="G22" s="15" t="n"/>
      <c r="H22" s="15">
        <f>F22+G22</f>
        <v/>
      </c>
      <c r="I22" s="13">
        <f>E22*H22</f>
        <v/>
      </c>
      <c r="J22" s="35" t="n"/>
    </row>
    <row r="23" ht="189" customHeight="1">
      <c r="A23" s="11" t="n">
        <v>15</v>
      </c>
      <c r="B23" s="12" t="inlineStr">
        <is>
          <t>热镀锌钢管
Ống thép mạ kẽm nhúng nóng</t>
        </is>
      </c>
      <c r="C23" s="35" t="inlineStr">
        <is>
          <t>1.材质:热镀锌钢管
1. Vật liệu: Ống thép mạ kẽm nhúng nóng
2.规格:DN300*6.0
2. Quy cách: DN300*6.0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6.保温层:难燃(B1级)柔性泡沫橡塑δ=45mm
6. Lớp bảo ôn: Cao su-nhựa xốp mềm khó cháy (cấp B1) δ=45mm
7.含连接管件
7. Gồm phụ kiện nối ống
8.其他:符合设计图纸以及施工规范要求
8. Khác: Phù hợp yêu cầu của bản vẽ thiết kế và quy phạm thi công</t>
        </is>
      </c>
      <c r="D23" s="11" t="inlineStr">
        <is>
          <t>m</t>
        </is>
      </c>
      <c r="E23" s="36" t="n">
        <v>84</v>
      </c>
      <c r="F23" s="15" t="n"/>
      <c r="G23" s="15" t="n"/>
      <c r="H23" s="15">
        <f>F23+G23</f>
        <v/>
      </c>
      <c r="I23" s="13">
        <f>E23*H23</f>
        <v/>
      </c>
      <c r="J23" s="35" t="inlineStr">
        <is>
          <t>钢管：振鸿、广岐、华岐、友发、南粤
Ống thép: Zhenhong (振鸿), Guangqi (广岐), Huaqi (华岐), Youfa (友发), Nanyue (南粤)
保温：Ord,贝柠、华美、派柏士
Bảo ôn: Ord, Beining (贝柠), Huamei (华美), Paibaishi (派柏士)</t>
        </is>
      </c>
    </row>
    <row r="24" ht="189" customHeight="1">
      <c r="A24" s="11" t="n">
        <v>16</v>
      </c>
      <c r="B24" s="12" t="inlineStr">
        <is>
          <t>热镀锌钢管
Ống thép mạ kẽm nhúng nóng</t>
        </is>
      </c>
      <c r="C24" s="35" t="inlineStr">
        <is>
          <t>1.材质:热镀锌钢管
1. Vật liệu: Ống thép mạ kẽm nhúng nóng
2.规格:DN250*6.0
2. Quy cách: DN250*6.0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6.保温层:难燃(B1级)柔性泡沫橡塑δ=50mm
6. Lớp bảo ôn: Cao su-nhựa xốp mềm khó cháy (cấp B1) δ=50mm
7.含连接管件
7. Gồm phụ kiện nối ống
8.其他:符合设计图纸以及施工规范要求
8. Khác: Phù hợp yêu cầu của bản vẽ thiết kế và quy phạm thi công</t>
        </is>
      </c>
      <c r="D24" s="11" t="inlineStr">
        <is>
          <t>m</t>
        </is>
      </c>
      <c r="E24" s="36" t="n">
        <v>12</v>
      </c>
      <c r="F24" s="15" t="n"/>
      <c r="G24" s="15" t="n"/>
      <c r="H24" s="15">
        <f>F24+G24</f>
        <v/>
      </c>
      <c r="I24" s="13">
        <f>E24*H24</f>
        <v/>
      </c>
      <c r="J24" s="35" t="inlineStr">
        <is>
          <t>钢管：振鸿、广岐、华岐、友发、南粤
Ống thép: Zhenhong (振鸿), Guangqi (广岐), Huaqi (华岐), Youfa (友发), Nanyue (南粤)
保温：Ord,贝柠、华美、派柏士
Bảo ôn: Ord, Beining (贝柠), Huamei (华美), Paibaishi (派柏士)</t>
        </is>
      </c>
    </row>
    <row r="25" ht="189" customHeight="1">
      <c r="A25" s="11" t="n">
        <v>17</v>
      </c>
      <c r="B25" s="12" t="inlineStr">
        <is>
          <t>热镀锌钢管
Ống thép mạ kẽm nhúng nóng</t>
        </is>
      </c>
      <c r="C25" s="35" t="inlineStr">
        <is>
          <t>1.材质:热镀锌钢管
1. Vật liệu: Ống thép mạ kẽm nhúng nóng
2.规格:DN125*4.25
2. Quy cách: DN125*4.25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6.保温层:难燃(B1级)柔性泡沫橡塑δ=40mm
6. Lớp bảo ôn: Cao su-nhựa xốp mềm khó cháy (cấp B1) δ=40mm
7.含连接管件
7. Gồm phụ kiện nối ống
8.其他:符合设计图纸以及施工规范要求
8. Khác: Phù hợp yêu cầu của bản vẽ thiết kế và quy phạm thi công</t>
        </is>
      </c>
      <c r="D25" s="11" t="inlineStr">
        <is>
          <t>m</t>
        </is>
      </c>
      <c r="E25" s="36" t="n">
        <v>12</v>
      </c>
      <c r="F25" s="15" t="n"/>
      <c r="G25" s="15" t="n"/>
      <c r="H25" s="15">
        <f>F25+G25</f>
        <v/>
      </c>
      <c r="I25" s="13">
        <f>E25*H25</f>
        <v/>
      </c>
      <c r="J25" s="35" t="inlineStr">
        <is>
          <t>钢管：振鸿、广岐、华岐、友发、南粤
Ống thép: Zhenhong (振鸿), Guangqi (广岐), Huaqi (华岐), Youfa (友发), Nanyue (南粤)
保温：Ord,贝柠、华美、派柏士
Bảo ôn: Ord, Beining (贝柠), Huamei (华美), Paibaishi (派柏士)</t>
        </is>
      </c>
    </row>
    <row r="26" ht="189" customHeight="1">
      <c r="A26" s="11" t="n">
        <v>18</v>
      </c>
      <c r="B26" s="12" t="inlineStr">
        <is>
          <t>热镀锌钢管
Ống thép mạ kẽm nhúng nóng</t>
        </is>
      </c>
      <c r="C26" s="35" t="inlineStr">
        <is>
          <t>1.材质:热镀锌钢管
1. Vật liệu: Ống thép mạ kẽm nhúng nóng
2.规格:DN32*3.0
2. Quy cách: DN32*3.0
3.连接形式:螺纹连接
3. Hình thức kết nối: Nối ren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6.保温层:难燃(B1级)柔性泡沫橡塑δ=30mm
6. Lớp bảo ôn: Cao su-nhựa xốp mềm khó cháy (cấp B1) δ=30mm
7.含连接管件
7. Gồm phụ kiện nối ống
8.其他:符合设计图纸以及施工规范要求
8. Khác: Phù hợp yêu cầu của bản vẽ thiết kế và quy phạm thi công</t>
        </is>
      </c>
      <c r="D26" s="11" t="inlineStr">
        <is>
          <t>m</t>
        </is>
      </c>
      <c r="E26" s="36" t="n">
        <v>36</v>
      </c>
      <c r="F26" s="15" t="n"/>
      <c r="G26" s="15" t="n"/>
      <c r="H26" s="15">
        <f>F26+G26</f>
        <v/>
      </c>
      <c r="I26" s="13">
        <f>E26*H26</f>
        <v/>
      </c>
      <c r="J26" s="35" t="inlineStr">
        <is>
          <t>钢管：振鸿、广岐、华岐、友发、南粤
Ống thép: Zhenhong (振鸿), Guangqi (广岐), Huaqi (华岐), Youfa (友发), Nanyue (南粤)
保温：Ord,贝柠、华美、派柏士
Bảo ôn: Ord, Beining (贝柠), Huamei (华美), Paibaishi (派柏士)</t>
        </is>
      </c>
    </row>
    <row r="27" ht="189" customHeight="1">
      <c r="A27" s="11" t="n">
        <v>19</v>
      </c>
      <c r="B27" s="12" t="inlineStr">
        <is>
          <t>热镀锌钢管
Ống thép mạ kẽm nhúng nóng</t>
        </is>
      </c>
      <c r="C27" s="35" t="inlineStr">
        <is>
          <t>1.材质:热镀锌钢管
1. Vật liệu: Ống thép mạ kẽm nhúng nóng
2.规格:DN25*3.0
2. Quy cách: DN25*3.0
3.连接形式:螺纹连接
3. Hình thức kết nối: Nối ren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6.保温层:难燃(B1级)柔性泡沫橡塑δ=25mm
6. Lớp bảo ôn: Cao su-nhựa xốp mềm khó cháy (cấp B1) δ=25mm
7.含连接管件
7. Gồm phụ kiện nối ống
8.其他:符合设计图纸以及施工规范要求
8. Khác: Phù hợp yêu cầu của bản vẽ thiết kế và quy phạm thi công</t>
        </is>
      </c>
      <c r="D27" s="11" t="inlineStr">
        <is>
          <t>m</t>
        </is>
      </c>
      <c r="E27" s="36" t="n">
        <v>12</v>
      </c>
      <c r="F27" s="15" t="n"/>
      <c r="G27" s="15" t="n"/>
      <c r="H27" s="15">
        <f>F27+G27</f>
        <v/>
      </c>
      <c r="I27" s="13">
        <f>E27*H27</f>
        <v/>
      </c>
      <c r="J27" s="35" t="inlineStr">
        <is>
          <t>钢管：振鸿、广岐、华岐、友发、南粤
Ống thép: Zhenhong (振鸿), Guangqi (广岐), Huaqi (华岐), Youfa (友发), Nanyue (南粤)
保温：Ord,贝柠、华美、派柏士
Bảo ôn: Ord, Beining (贝柠), Huamei (华美), Paibaishi (派柏士)</t>
        </is>
      </c>
    </row>
    <row r="28" ht="189" customHeight="1">
      <c r="A28" s="11" t="n">
        <v>20</v>
      </c>
      <c r="B28" s="12" t="inlineStr">
        <is>
          <t>热镀锌钢管
Ống thép mạ kẽm nhúng nóng</t>
        </is>
      </c>
      <c r="C28" s="35" t="inlineStr">
        <is>
          <t>1.材质:热镀锌钢管
1. Vật liệu: Ống thép mạ kẽm nhúng nóng
2.规格:DN20*2.75
2. Quy cách: DN20*2.75
3.连接形式:螺纹连接
3. Hình thức kết nối: Nối ren
4.压力试验及吹、洗设计要求:水冲洗和水压试验
4. Yêu cầu thiết kế về thử áp lực và thổi, rửa: Xả rửa bằng nước và thử áp lực nước
5.防腐:防锈漆二道
5. Chống ăn mòn: Sơn chống gỉ hai lớp
6.保温层:难燃(B1级)柔性泡沫橡塑δ=25mm
6. Lớp bảo ôn: Cao su-nhựa xốp mềm khó cháy (cấp B1) δ=25mm
7.含连接管件
7. Gồm phụ kiện nối ống
8.其他:符合设计图纸以及施工规范要求
8. Khác: Phù hợp yêu cầu của bản vẽ thiết kế và quy phạm thi công</t>
        </is>
      </c>
      <c r="D28" s="11" t="inlineStr">
        <is>
          <t>m</t>
        </is>
      </c>
      <c r="E28" s="36" t="n">
        <v>24</v>
      </c>
      <c r="F28" s="15" t="n"/>
      <c r="G28" s="15" t="n"/>
      <c r="H28" s="15">
        <f>F28+G28</f>
        <v/>
      </c>
      <c r="I28" s="13">
        <f>E28*H28</f>
        <v/>
      </c>
      <c r="J28" s="35" t="inlineStr">
        <is>
          <t>钢管：振鸿、广岐、华岐、友发、南粤
Ống thép: Zhenhong (振鸿), Guangqi (广岐), Huaqi (华岐), Youfa (友发), Nanyue (南粤)
保温：Ord,贝柠、华美、派柏士
Bảo ôn: Ord, Beining (贝柠), Huamei (华美), Paibaishi (派柏士)</t>
        </is>
      </c>
    </row>
    <row r="29" ht="166" customHeight="1">
      <c r="A29" s="11" t="n">
        <v>21</v>
      </c>
      <c r="B29" s="12" t="inlineStr">
        <is>
          <t>热镀锌螺旋钢管
Ống thép xoắn mạ kẽm nhúng nóng</t>
        </is>
      </c>
      <c r="C29" s="35" t="inlineStr">
        <is>
          <t>1.材质:热镀锌螺旋钢管
1. Vật liệu: Ống thép xoắn mạ kẽm nhúng nóng
2.规格:DN600*9
2. Quy cách: DN600*9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6.含连接管件
6. Gồm phụ kiện nối ống
7.其他:符合设计图纸以及施工规范要求
7. Khác: Phù hợp yêu cầu của bản vẽ thiết kế và quy phạm thi công</t>
        </is>
      </c>
      <c r="D29" s="11" t="inlineStr">
        <is>
          <t>m</t>
        </is>
      </c>
      <c r="E29" s="36" t="n">
        <v>174</v>
      </c>
      <c r="F29" s="15" t="n"/>
      <c r="G29" s="15" t="n"/>
      <c r="H29" s="15">
        <f>F29+G29</f>
        <v/>
      </c>
      <c r="I29" s="13">
        <f>E29*H29</f>
        <v/>
      </c>
      <c r="J29" s="35" t="inlineStr">
        <is>
          <t>国产优质
Hàng sản xuất trong nước chất lượng cao</t>
        </is>
      </c>
    </row>
    <row r="30" ht="166" customHeight="1">
      <c r="A30" s="11" t="n">
        <v>22</v>
      </c>
      <c r="B30" s="12" t="inlineStr">
        <is>
          <t>热镀锌钢管
Ống thép mạ kẽm nhúng nóng</t>
        </is>
      </c>
      <c r="C30" s="35" t="inlineStr">
        <is>
          <t>1.材质:热镀锌钢管
1. Vật liệu: Ống thép mạ kẽm nhúng nóng
2.规格:DN300*6.0
2. Quy cách: DN300*6.0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6.含连接管件
6. Gồm phụ kiện nối ống
7.其他:符合设计图纸以及施工规范要求
7. Khác: Phù hợp yêu cầu của bản vẽ thiết kế và quy phạm thi công</t>
        </is>
      </c>
      <c r="D30" s="11" t="inlineStr">
        <is>
          <t>m</t>
        </is>
      </c>
      <c r="E30" s="36" t="n">
        <v>60</v>
      </c>
      <c r="F30" s="15" t="n"/>
      <c r="G30" s="15" t="n"/>
      <c r="H30" s="15">
        <f>F30+G30</f>
        <v/>
      </c>
      <c r="I30" s="13">
        <f>E30*H30</f>
        <v/>
      </c>
      <c r="J30" s="35" t="inlineStr">
        <is>
          <t>振鸿、广岐、华岐、友发、南粤
Zhenhong (振鸿), Guangqi (广岐), Huaqi (华岐), Youfa (友发), Nanyue (南粤)</t>
        </is>
      </c>
    </row>
    <row r="31" ht="166" customHeight="1">
      <c r="A31" s="11" t="n">
        <v>23</v>
      </c>
      <c r="B31" s="12" t="inlineStr">
        <is>
          <t>热镀锌钢管
Ống thép mạ kẽm nhúng nóng</t>
        </is>
      </c>
      <c r="C31" s="35" t="inlineStr">
        <is>
          <t>1.材质:热镀锌钢管
1. Vật liệu: Ống thép mạ kẽm nhúng nóng
2.规格:DN250*6.0
2. Quy cách: DN250*6.0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6.含连接管件
6. Gồm phụ kiện nối ống
7.其他:符合设计图纸以及施工规范要求
7. Khác: Phù hợp yêu cầu của bản vẽ thiết kế và quy phạm thi công</t>
        </is>
      </c>
      <c r="D31" s="11" t="inlineStr">
        <is>
          <t>m</t>
        </is>
      </c>
      <c r="E31" s="36" t="n">
        <v>108</v>
      </c>
      <c r="F31" s="15" t="n"/>
      <c r="G31" s="15" t="n"/>
      <c r="H31" s="15">
        <f>F31+G31</f>
        <v/>
      </c>
      <c r="I31" s="13">
        <f>E31*H31</f>
        <v/>
      </c>
      <c r="J31" s="35" t="inlineStr">
        <is>
          <t>振鸿、广岐、华岐、友发、南粤
Zhenhong (振鸿), Guangqi (广岐), Huaqi (华岐), Youfa (友发), Nanyue (南粤)</t>
        </is>
      </c>
    </row>
    <row r="32" ht="166" customHeight="1">
      <c r="A32" s="11" t="n">
        <v>24</v>
      </c>
      <c r="B32" s="12" t="inlineStr">
        <is>
          <t>热镀锌钢管
Ống thép mạ kẽm nhúng nóng</t>
        </is>
      </c>
      <c r="C32" s="35" t="inlineStr">
        <is>
          <t>1.材质:热镀锌钢管
1. Vật liệu: Ống thép mạ kẽm nhúng nóng
2.规格:DN200*6.0
2. Quy cách: DN200*6.0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6.含连接管件
6. Gồm phụ kiện nối ống
7.其他:符合设计图纸以及施工规范要求
7. Khác: Phù hợp yêu cầu của bản vẽ thiết kế và quy phạm thi công</t>
        </is>
      </c>
      <c r="D32" s="11" t="inlineStr">
        <is>
          <t>m</t>
        </is>
      </c>
      <c r="E32" s="36" t="n">
        <v>72</v>
      </c>
      <c r="F32" s="15" t="n"/>
      <c r="G32" s="15" t="n"/>
      <c r="H32" s="15">
        <f>F32+G32</f>
        <v/>
      </c>
      <c r="I32" s="13">
        <f>E32*H32</f>
        <v/>
      </c>
      <c r="J32" s="35" t="inlineStr">
        <is>
          <t>振鸿、广岐、华岐、友发、南粤
Zhenhong (振鸿), Guangqi (广岐), Huaqi (华岐), Youfa (友发), Nanyue (南粤)</t>
        </is>
      </c>
    </row>
    <row r="33" ht="166" customHeight="1">
      <c r="A33" s="11" t="n">
        <v>25</v>
      </c>
      <c r="B33" s="12" t="inlineStr">
        <is>
          <t>热镀锌钢管
Ống thép mạ kẽm nhúng nóng</t>
        </is>
      </c>
      <c r="C33" s="35" t="inlineStr">
        <is>
          <t>1.材质:热镀锌钢管
1. Vật liệu: Ống thép mạ kẽm nhúng nóng
2.规格:DN150*4.5
2. Quy cách: DN150*4.5
3.连接形式:焊接
3. Hình thức kết nối: Hàn
4.压力试验及吹、洗设计要求:水冲洗和水压试验
4. Yêu cầu thiết kế về thử áp lực và thổi, rửa: Xả rửa bằng nước và thử áp lực nước
5.防腐:防锈漆二道
5. Chống ăn mòn: Sơn chống gỉ hai lớp
6.含连接管件
6. Gồm phụ kiện nối ống
7.其他:符合设计图纸以及施工规范要求
7. Khác: Phù hợp yêu cầu của bản vẽ thiết kế và quy phạm thi công</t>
        </is>
      </c>
      <c r="D33" s="11" t="inlineStr">
        <is>
          <t>m</t>
        </is>
      </c>
      <c r="E33" s="36" t="n">
        <v>54</v>
      </c>
      <c r="F33" s="15" t="n"/>
      <c r="G33" s="15" t="n"/>
      <c r="H33" s="15">
        <f>F33+G33</f>
        <v/>
      </c>
      <c r="I33" s="13">
        <f>E33*H33</f>
        <v/>
      </c>
      <c r="J33" s="35" t="inlineStr">
        <is>
          <t>振鸿、广岐、华岐、友发、南粤
Zhenhong (振鸿), Guangqi (广岐), Huaqi (华岐), Youfa (友发), Nanyue (南粤)</t>
        </is>
      </c>
    </row>
    <row r="34" ht="166" customHeight="1">
      <c r="A34" s="11" t="n">
        <v>26</v>
      </c>
      <c r="B34" s="12" t="inlineStr">
        <is>
          <t>热镀锌钢管
Ống thép mạ kẽm nhúng nóng</t>
        </is>
      </c>
      <c r="C34" s="35" t="inlineStr">
        <is>
          <t>1.材质:热镀锌钢管
1. Vật liệu: Ống thép mạ kẽm nhúng nóng
2.规格:DN25*3.0
2. Quy cách: DN25*3.0
3.连接形式:螺纹连接
3. Hình thức kết nối: Nối ren
4.压力试验及吹、洗设计要求:水冲洗和水压试验
4. Yêu cầu thiết kế về thử áp lực và thổi, rửa: Xả rửa bằng nước và thử áp lực nước
5.防腐:防锈漆二道
5. Chống ăn mòn: Sơn chống gỉ hai lớp
6.含连接管件
6. Gồm phụ kiện nối ống
7.其他:符合设计图纸以及施工规范要求
7. Khác: Phù hợp yêu cầu của bản vẽ thiết kế và quy phạm thi công</t>
        </is>
      </c>
      <c r="D34" s="11" t="inlineStr">
        <is>
          <t>m</t>
        </is>
      </c>
      <c r="E34" s="36" t="n">
        <v>30</v>
      </c>
      <c r="F34" s="15" t="n"/>
      <c r="G34" s="15" t="n"/>
      <c r="H34" s="15">
        <f>F34+G34</f>
        <v/>
      </c>
      <c r="I34" s="13">
        <f>E34*H34</f>
        <v/>
      </c>
      <c r="J34" s="35" t="inlineStr">
        <is>
          <t>振鸿、广岐、华岐、友发、南粤
Zhenhong (振鸿), Guangqi (广岐), Huaqi (华岐), Youfa (友发), Nanyue (南粤)</t>
        </is>
      </c>
    </row>
    <row r="35" ht="166" customHeight="1">
      <c r="A35" s="11" t="n">
        <v>27</v>
      </c>
      <c r="B35" s="12" t="inlineStr">
        <is>
          <t>热镀锌钢管
Ống thép mạ kẽm nhúng nóng</t>
        </is>
      </c>
      <c r="C35" s="35" t="inlineStr">
        <is>
          <t>1.名称:膨胀管、辅助设备接管及泄水管
1. Tên: Ống giãn nở, ống đấu nối thiết bị phụ trợ và ống xả nước
2.材质:热镀锌钢管
2. Vật liệu: Ống thép mạ kẽm nhúng nóng
3.规格:DN50*3.5
3. Quy cách: DN50*3.5
4.连接形式:螺纹连接
4. Hình thức kết nối: Nối ren
5.压力试验及吹、洗设计要求:水冲洗和水压试验
5. Yêu cầu thiết kế về thử áp lực và thổi, rửa: Xả rửa bằng nước và thử áp lực nước
6.含连接管件
6. Gồm phụ kiện nối ống
7.其他:符合设计图纸以及施工规范要求
7. Khác: Phù hợp yêu cầu của bản vẽ thiết kế và quy phạm thi công</t>
        </is>
      </c>
      <c r="D35" s="11" t="inlineStr">
        <is>
          <t>m</t>
        </is>
      </c>
      <c r="E35" s="36" t="n">
        <v>54</v>
      </c>
      <c r="F35" s="15" t="n"/>
      <c r="G35" s="15" t="n"/>
      <c r="H35" s="15">
        <f>F35+G35</f>
        <v/>
      </c>
      <c r="I35" s="13">
        <f>E35*H35</f>
        <v/>
      </c>
      <c r="J35" s="35" t="inlineStr">
        <is>
          <t>振鸿、广岐、华岐、友发、南粤
Zhenhong (振鸿), Guangqi (广岐), Huaqi (华岐), Youfa (友发), Nanyue (南粤)</t>
        </is>
      </c>
    </row>
    <row r="36" ht="166" customHeight="1">
      <c r="A36" s="11" t="n">
        <v>28</v>
      </c>
      <c r="B36" s="12" t="inlineStr">
        <is>
          <t>PVC给水管
Ống cấp nước PVC</t>
        </is>
      </c>
      <c r="C36" s="35" t="inlineStr">
        <is>
          <t>1.介质:补水
1. Môi chất: Nước bổ sung
2.材质:PVC给水管
2. Vật liệu: Ống cấp nước PVC
3.规格:De110
3. Quy cách: De110
4.连接形式:粘接
4. Hình thức kết nối: Dán keo
5.压力试验及吹、洗设计要求:按设计规范要求
5. Yêu cầu thiết kế về thử áp lực và thổi, rửa: Theo yêu cầu của quy phạm thiết kế
6.含连接管件
6. Gồm phụ kiện nối ống
7.其他:符合设计图纸以及施工规范要求
7. Khác: Phù hợp yêu cầu của bản vẽ thiết kế và quy phạm thi công</t>
        </is>
      </c>
      <c r="D36" s="11" t="inlineStr">
        <is>
          <t>m</t>
        </is>
      </c>
      <c r="E36" s="36" t="n">
        <v>36</v>
      </c>
      <c r="F36" s="15" t="n"/>
      <c r="G36" s="15" t="n"/>
      <c r="H36" s="15">
        <f>F36+G36</f>
        <v/>
      </c>
      <c r="I36" s="13">
        <f>E36*H36</f>
        <v/>
      </c>
      <c r="J36" s="35" t="inlineStr">
        <is>
          <t>联塑、日丰
Lesso (联塑), Rifeng (日丰)</t>
        </is>
      </c>
    </row>
    <row r="37" ht="166" customHeight="1">
      <c r="A37" s="11" t="n">
        <v>29</v>
      </c>
      <c r="B37" s="12" t="inlineStr">
        <is>
          <t>PVC给水管
Ống cấp nước PVC</t>
        </is>
      </c>
      <c r="C37" s="35" t="inlineStr">
        <is>
          <t>1.介质:补水
1. Môi chất: Nước bổ sung
2.材质:PVC给水管
2. Vật liệu: Ống cấp nước PVC
3.规格:De40
3. Quy cách: De40
4.连接形式:粘接
4. Hình thức kết nối: Dán keo
5.压力试验及吹、洗设计要求:按设计规范要求
5. Yêu cầu thiết kế về thử áp lực và thổi, rửa: Theo yêu cầu của quy phạm thiết kế
6.含连接管件
6. Gồm phụ kiện nối ống
7.其他:符合设计图纸以及施工规范要求
7. Khác: Phù hợp yêu cầu của bản vẽ thiết kế và quy phạm thi công</t>
        </is>
      </c>
      <c r="D37" s="11" t="inlineStr">
        <is>
          <t>m</t>
        </is>
      </c>
      <c r="E37" s="36" t="n">
        <v>48</v>
      </c>
      <c r="F37" s="15" t="n"/>
      <c r="G37" s="15" t="n"/>
      <c r="H37" s="15">
        <f>F37+G37</f>
        <v/>
      </c>
      <c r="I37" s="13">
        <f>E37*H37</f>
        <v/>
      </c>
      <c r="J37" s="35" t="inlineStr">
        <is>
          <t>联塑、日丰
Lesso (联塑), Rifeng (日丰)</t>
        </is>
      </c>
    </row>
    <row r="38" ht="166" customHeight="1">
      <c r="A38" s="11" t="n">
        <v>30</v>
      </c>
      <c r="B38" s="12" t="inlineStr">
        <is>
          <t>PVC给水管
Ống cấp nước PVC</t>
        </is>
      </c>
      <c r="C38" s="35" t="inlineStr">
        <is>
          <t>1.介质:补水
1. Môi chất: Nước bổ sung
2.材质:PVC给水管
2. Vật liệu: Ống cấp nước PVC
3.规格:De32
3. Quy cách: De32
4.连接形式:粘接
4. Hình thức kết nối: Dán keo
5.压力试验及吹、洗设计要求:按设计规范要求
5. Yêu cầu thiết kế về thử áp lực và thổi, rửa: Theo yêu cầu của quy phạm thiết kế
6.含连接管件
6. Gồm phụ kiện nối ống
7.其他:符合设计图纸以及施工规范要求
7. Khác: Phù hợp yêu cầu của bản vẽ thiết kế và quy phạm thi công</t>
        </is>
      </c>
      <c r="D38" s="11" t="inlineStr">
        <is>
          <t>m</t>
        </is>
      </c>
      <c r="E38" s="36" t="n">
        <v>8</v>
      </c>
      <c r="F38" s="15" t="n"/>
      <c r="G38" s="15" t="n"/>
      <c r="H38" s="15">
        <f>F38+G38</f>
        <v/>
      </c>
      <c r="I38" s="13">
        <f>E38*H38</f>
        <v/>
      </c>
      <c r="J38" s="35" t="inlineStr">
        <is>
          <t>联塑、日丰
Lesso (联塑), Rifeng (日丰)</t>
        </is>
      </c>
    </row>
    <row r="39" ht="166" customHeight="1">
      <c r="A39" s="11" t="n">
        <v>31</v>
      </c>
      <c r="B39" s="12" t="inlineStr">
        <is>
          <t>PVC给水管
Ống cấp nước PVC</t>
        </is>
      </c>
      <c r="C39" s="35" t="inlineStr">
        <is>
          <t>1.介质:排水
1. Môi chất: Thoát nước
2.材质:PVC给水管
2. Vật liệu: Ống cấp nước PVC
3.规格:De160
3. Quy cách: De160
4.连接形式:粘接
4. Hình thức kết nối: Dán keo
5.压力试验及吹、洗设计要求:按设计规范要求
5. Yêu cầu thiết kế về thử áp lực và thổi, rửa: Theo yêu cầu của quy phạm thiết kế
6.含连接管件
6. Gồm phụ kiện nối ống
7.其他:符合设计图纸以及施工规范要求
7. Khác: Phù hợp yêu cầu của bản vẽ thiết kế và quy phạm thi công</t>
        </is>
      </c>
      <c r="D39" s="11" t="inlineStr">
        <is>
          <t>m</t>
        </is>
      </c>
      <c r="E39" s="36" t="n">
        <v>36</v>
      </c>
      <c r="F39" s="15" t="n"/>
      <c r="G39" s="15" t="n"/>
      <c r="H39" s="15">
        <f>F39+G39</f>
        <v/>
      </c>
      <c r="I39" s="13">
        <f>E39*H39</f>
        <v/>
      </c>
      <c r="J39" s="35" t="inlineStr">
        <is>
          <t>联塑、日丰
Lesso (联塑), Rifeng (日丰)</t>
        </is>
      </c>
    </row>
    <row r="40" ht="166" customHeight="1">
      <c r="A40" s="11" t="n">
        <v>32</v>
      </c>
      <c r="B40" s="12" t="inlineStr">
        <is>
          <t>PVC给水管
Ống cấp nước PVC</t>
        </is>
      </c>
      <c r="C40" s="35" t="inlineStr">
        <is>
          <t>1.介质:排水
1. Môi chất: Thoát nước
2.材质:PVC给水管
2. Vật liệu: Ống cấp nước PVC
3.规格:De63
3. Quy cách: De63
4.连接形式:粘接
4. Hình thức kết nối: Dán keo
5.压力试验及吹、洗设计要求:按设计规范要求
5. Yêu cầu thiết kế về thử áp lực và thổi, rửa: Theo yêu cầu của quy phạm thiết kế
6.含连接管件
6. Gồm phụ kiện nối ống
7.其他:符合设计图纸以及施工规范要求
7. Khác: Phù hợp yêu cầu của bản vẽ thiết kế và quy phạm thi công</t>
        </is>
      </c>
      <c r="D40" s="11" t="inlineStr">
        <is>
          <t>m</t>
        </is>
      </c>
      <c r="E40" s="36" t="n">
        <v>72</v>
      </c>
      <c r="F40" s="15" t="n"/>
      <c r="G40" s="15" t="n"/>
      <c r="H40" s="15">
        <f>F40+G40</f>
        <v/>
      </c>
      <c r="I40" s="13">
        <f>E40*H40</f>
        <v/>
      </c>
      <c r="J40" s="35" t="inlineStr">
        <is>
          <t>联塑、日丰
Lesso (联塑), Rifeng (日丰)</t>
        </is>
      </c>
    </row>
    <row r="41" ht="166" customHeight="1">
      <c r="A41" s="11" t="n">
        <v>33</v>
      </c>
      <c r="B41" s="12" t="inlineStr">
        <is>
          <t>PVC给水管
Ống cấp nước PVC</t>
        </is>
      </c>
      <c r="C41" s="35" t="inlineStr">
        <is>
          <t>1.介质:排水
1. Môi chất: Thoát nước
2.材质:PVC给水管
2. Vật liệu: Ống cấp nước PVC
3.规格:De40
3. Quy cách: De40
4.连接形式:粘接
4. Hình thức kết nối: Dán keo
5.压力试验及吹、洗设计要求:按设计规范要求
5. Yêu cầu thiết kế về thử áp lực và thổi, rửa: Theo yêu cầu của quy phạm thiết kế
6.含连接管件
6. Gồm phụ kiện nối ống
7.其他:符合设计图纸以及施工规范要求
7. Khác: Phù hợp yêu cầu của bản vẽ thiết kế và quy phạm thi công</t>
        </is>
      </c>
      <c r="D41" s="11" t="inlineStr">
        <is>
          <t>m</t>
        </is>
      </c>
      <c r="E41" s="36" t="n">
        <v>24</v>
      </c>
      <c r="F41" s="15" t="n"/>
      <c r="G41" s="15" t="n"/>
      <c r="H41" s="15">
        <f>F41+G41</f>
        <v/>
      </c>
      <c r="I41" s="13">
        <f>E41*H41</f>
        <v/>
      </c>
      <c r="J41" s="35" t="inlineStr">
        <is>
          <t>联塑、日丰
Lesso (联塑), Rifeng (日丰)</t>
        </is>
      </c>
    </row>
    <row r="42" ht="143" customHeight="1">
      <c r="A42" s="11" t="n">
        <v>34</v>
      </c>
      <c r="B42" s="12" t="inlineStr">
        <is>
          <t>冷凝水排水管
Ống thoát nước ngưng</t>
        </is>
      </c>
      <c r="C42" s="35" t="inlineStr">
        <is>
          <t>1.材质:PVC给水管
1. Vật liệu: Ống cấp nước PVC
2.规格:De40
2. Quy cách: De40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42" s="11" t="inlineStr">
        <is>
          <t>m</t>
        </is>
      </c>
      <c r="E42" s="36" t="n">
        <v>24</v>
      </c>
      <c r="F42" s="15" t="n"/>
      <c r="G42" s="15" t="n"/>
      <c r="H42" s="15">
        <f>F42+G42</f>
        <v/>
      </c>
      <c r="I42" s="13">
        <f>E42*H42</f>
        <v/>
      </c>
      <c r="J42" s="35" t="inlineStr">
        <is>
          <t>PVC管：联塑、日丰
Ống PVC: Lesso (联塑), Rifeng (日丰)
保温：Ord,贝柠、华美、派柏士
Bảo ôn: Ord, Beining (贝柠), Huamei (华美), Paibaishi (派柏士)</t>
        </is>
      </c>
    </row>
    <row r="43" ht="143" customHeight="1">
      <c r="A43" s="11" t="n">
        <v>35</v>
      </c>
      <c r="B43" s="12" t="inlineStr">
        <is>
          <t>冷凝水排水管
Ống thoát nước ngưng</t>
        </is>
      </c>
      <c r="C43" s="35" t="inlineStr">
        <is>
          <t>1.材质:PVC给水管
1. Vật liệu: Ống cấp nước PVC
2.规格:De25
2. Quy cách: De25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43" s="11" t="inlineStr">
        <is>
          <t>m</t>
        </is>
      </c>
      <c r="E43" s="36" t="n">
        <v>12</v>
      </c>
      <c r="F43" s="15" t="n"/>
      <c r="G43" s="15" t="n"/>
      <c r="H43" s="15">
        <f>F43+G43</f>
        <v/>
      </c>
      <c r="I43" s="13">
        <f>E43*H43</f>
        <v/>
      </c>
      <c r="J43" s="35" t="inlineStr">
        <is>
          <t>PVC管：联塑、日丰
Ống PVC: Lesso (联塑), Rifeng (日丰)
保温：Ord,贝柠、华美、派柏士
Bảo ôn: Ord, Beining (贝柠), Huamei (华美), Paibaishi (派柏士)</t>
        </is>
      </c>
    </row>
    <row r="44" ht="97" customHeight="1">
      <c r="A44" s="11" t="n">
        <v>36</v>
      </c>
      <c r="B44" s="12" t="inlineStr">
        <is>
          <t>管道支架
Giá đỡ đường ống</t>
        </is>
      </c>
      <c r="C44" s="35" t="inlineStr">
        <is>
          <t>1.形式:吊托支架
1. Hình thức: Giá treo đỡ
2.材质:碳钢(型钢综合)
2. Vật liệu: Thép cacbon (tổng hợp thép hình)
3.除锈、刷油:手工除锈，防锈漆、调和漆各二道
3. Tẩy gỉ, sơn: Tẩy gỉ thủ công, sơn chống gỉ và sơn phủ mỗi loại hai lớp
4.其他:符合设计图纸以及施工规范要求
4. Khác: Phù hợp yêu cầu của bản vẽ thiết kế và quy phạm thi công</t>
        </is>
      </c>
      <c r="D44" s="11" t="inlineStr">
        <is>
          <t>kg</t>
        </is>
      </c>
      <c r="E44" s="40" t="n">
        <v>5787.4</v>
      </c>
      <c r="F44" s="15" t="n"/>
      <c r="G44" s="15" t="n"/>
      <c r="H44" s="15">
        <f>F44+G44</f>
        <v/>
      </c>
      <c r="I44" s="13">
        <f>E44*H44</f>
        <v/>
      </c>
      <c r="J44" s="35" t="inlineStr">
        <is>
          <t>国标
Tiêu chuẩn quốc gia (GB)</t>
        </is>
      </c>
    </row>
    <row r="45" ht="85.5" customHeight="1">
      <c r="A45" s="11" t="n">
        <v>37</v>
      </c>
      <c r="B45" s="12" t="inlineStr">
        <is>
          <t>温差旁通阀
Van bypass chênh lệch nhiệt độ</t>
        </is>
      </c>
      <c r="C45" s="35" t="inlineStr">
        <is>
          <t>1.类型:温差旁通阀
1. Loại: Van bypass chênh lệch nhiệt độ
2.规格:DN250
2. Quy cách: DN250
3.连接形式:法兰连接                     4.其他:符合设计图纸以及施工规范要求
3. Hình thức kết nối: Nối mặt bích                     4. Khác: Phù hợp yêu cầu của bản vẽ thiết kế và quy phạm thi công</t>
        </is>
      </c>
      <c r="D45" s="11" t="inlineStr">
        <is>
          <t>个
Cái</t>
        </is>
      </c>
      <c r="E45" s="36" t="n">
        <v>1</v>
      </c>
      <c r="F45" s="15" t="n"/>
      <c r="G45" s="15" t="n"/>
      <c r="H45" s="15">
        <f>F45+G45</f>
        <v/>
      </c>
      <c r="I45" s="13">
        <f>E45*H45</f>
        <v/>
      </c>
      <c r="J45" s="35" t="inlineStr">
        <is>
          <t>江森、霍尼韦尔、西门子
Johnson Controls (江森), Honeywell (霍尼韦尔), Siemens (西门子)</t>
        </is>
      </c>
    </row>
    <row r="46" ht="97" customHeight="1">
      <c r="A46" s="11" t="n">
        <v>38</v>
      </c>
      <c r="B46" s="12" t="inlineStr">
        <is>
          <t>电动压差旁通阀
Van bypass chênh áp điện</t>
        </is>
      </c>
      <c r="C46" s="35" t="inlineStr">
        <is>
          <t>1.类型:电动压差旁通阀
1. Loại: Van bypass chênh áp điện
2.规格:DN250
2. Quy cách: DN250
3.连接形式:法兰连接
3. Hình thức kết nối: Nối mặt bích
4.其他:符合设计图纸以及施工规范要求
4. Khác: Phù hợp yêu cầu của bản vẽ thiết kế và quy phạm thi công</t>
        </is>
      </c>
      <c r="D46" s="11" t="inlineStr">
        <is>
          <t>个
Cái</t>
        </is>
      </c>
      <c r="E46" s="36" t="n">
        <v>1</v>
      </c>
      <c r="F46" s="15" t="n"/>
      <c r="G46" s="15" t="n"/>
      <c r="H46" s="15">
        <f>F46+G46</f>
        <v/>
      </c>
      <c r="I46" s="13">
        <f>E46*H46</f>
        <v/>
      </c>
      <c r="J46" s="35" t="inlineStr">
        <is>
          <t>江森、霍尼韦尔、西门子
Johnson Controls (江森), Honeywell (霍尼韦尔), Siemens (西门子)</t>
        </is>
      </c>
    </row>
    <row r="47" ht="97" customHeight="1">
      <c r="A47" s="11" t="n">
        <v>39</v>
      </c>
      <c r="B47" s="12" t="inlineStr">
        <is>
          <t>电动二通阀
Van hai ngả điện</t>
        </is>
      </c>
      <c r="C47" s="35" t="inlineStr">
        <is>
          <t>1.类型:电动二通阀
1. Loại: Van hai ngả điện
2.规格:DN20
2. Quy cách: DN20
3.连接形式:螺纹连接
3. Hình thức kết nối: Nối ren
4.其他:符合设计图纸以及施工规范要求
4. Khác: Phù hợp yêu cầu của bản vẽ thiết kế và quy phạm thi công</t>
        </is>
      </c>
      <c r="D47" s="11" t="inlineStr">
        <is>
          <t>个
Cái</t>
        </is>
      </c>
      <c r="E47" s="36" t="n">
        <v>3</v>
      </c>
      <c r="F47" s="15" t="n"/>
      <c r="G47" s="15" t="n"/>
      <c r="H47" s="15">
        <f>F47+G47</f>
        <v/>
      </c>
      <c r="I47" s="13">
        <f>E47*H47</f>
        <v/>
      </c>
      <c r="J47" s="35" t="inlineStr">
        <is>
          <t>江森、霍尼韦尔、西门子
Johnson Controls (江森), Honeywell (霍尼韦尔), Siemens (西门子)</t>
        </is>
      </c>
    </row>
    <row r="48" ht="97" customHeight="1">
      <c r="A48" s="11" t="n">
        <v>40</v>
      </c>
      <c r="B48" s="12" t="inlineStr">
        <is>
          <t>电动蝶阀
Van bướm điện</t>
        </is>
      </c>
      <c r="C48" s="35" t="inlineStr">
        <is>
          <t>1.类型:电动蝶阀
1. Loại: Van bướm điện
2.规格:DN300
2. Quy cách: DN300
3.连接形式:法兰连接
3. Hình thức kết nối: Nối mặt bích
4.其他:符合设计图纸以及施工规范要求
4. Khác: Phù hợp yêu cầu của bản vẽ thiết kế và quy phạm thi công</t>
        </is>
      </c>
      <c r="D48" s="11" t="inlineStr">
        <is>
          <t>个
Cái</t>
        </is>
      </c>
      <c r="E48" s="36" t="n">
        <v>6</v>
      </c>
      <c r="F48" s="15" t="n"/>
      <c r="G48" s="15" t="n"/>
      <c r="H48" s="15">
        <f>F48+G48</f>
        <v/>
      </c>
      <c r="I48" s="13">
        <f>E48*H48</f>
        <v/>
      </c>
      <c r="J48" s="35" t="inlineStr">
        <is>
          <t>江森、霍尼韦尔、西门子
Johnson Controls (江森), Honeywell (霍尼韦尔), Siemens (西门子)</t>
        </is>
      </c>
    </row>
    <row r="49" ht="97" customHeight="1">
      <c r="A49" s="11" t="n">
        <v>41</v>
      </c>
      <c r="B49" s="12" t="inlineStr">
        <is>
          <t>电动蝶阀
Van bướm điện</t>
        </is>
      </c>
      <c r="C49" s="35" t="inlineStr">
        <is>
          <t>1.类型:电动蝶阀
1. Loại: Van bướm điện
2.规格:DN250
2. Quy cách: DN250
3.连接形式:法兰连接
3. Hình thức kết nối: Nối mặt bích
4.其他:符合设计图纸以及施工规范要求
4. Khác: Phù hợp yêu cầu của bản vẽ thiết kế và quy phạm thi công</t>
        </is>
      </c>
      <c r="D49" s="11" t="inlineStr">
        <is>
          <t>个
Cái</t>
        </is>
      </c>
      <c r="E49" s="36" t="n">
        <v>12</v>
      </c>
      <c r="F49" s="15" t="n"/>
      <c r="G49" s="15" t="n"/>
      <c r="H49" s="15">
        <f>F49+G49</f>
        <v/>
      </c>
      <c r="I49" s="13">
        <f>E49*H49</f>
        <v/>
      </c>
      <c r="J49" s="35" t="inlineStr">
        <is>
          <t>江森、霍尼韦尔、西门子
Johnson Controls (江森), Honeywell (霍尼韦尔), Siemens (西门子)</t>
        </is>
      </c>
    </row>
    <row r="50" ht="97" customHeight="1">
      <c r="A50" s="11" t="n">
        <v>42</v>
      </c>
      <c r="B50" s="12" t="inlineStr">
        <is>
          <t>静态平衡阀
Van cân bằng tĩnh</t>
        </is>
      </c>
      <c r="C50" s="35" t="inlineStr">
        <is>
          <t>1.类型:静态平衡阀
1. Loại: Van cân bằng tĩnh
2.规格:DN350
2. Quy cách: DN350
3.连接形式:法兰连接
3. Hình thức kết nối: Nối mặt bích
4.其他:符合设计图纸以及施工规范要求
4. Khác: Phù hợp yêu cầu của bản vẽ thiết kế và quy phạm thi công</t>
        </is>
      </c>
      <c r="D50" s="11" t="inlineStr">
        <is>
          <t>个
Cái</t>
        </is>
      </c>
      <c r="E50" s="36" t="n">
        <v>1</v>
      </c>
      <c r="F50" s="15" t="n"/>
      <c r="G50" s="15" t="n"/>
      <c r="H50" s="15">
        <f>F50+G50</f>
        <v/>
      </c>
      <c r="I50" s="13">
        <f>E50*H50</f>
        <v/>
      </c>
      <c r="J50" s="35" t="inlineStr">
        <is>
          <t>塘沽利盾、塘沽申瑞德、塘沽富恒星
Tanggu Lidun (塘沽利盾), Tanggu Shenruide (塘沽申瑞德), Tanggu Fuhengxing (塘沽富恒星)</t>
        </is>
      </c>
    </row>
    <row r="51" ht="97" customHeight="1">
      <c r="A51" s="11" t="n">
        <v>43</v>
      </c>
      <c r="B51" s="12" t="inlineStr">
        <is>
          <t>静态平衡阀
Van cân bằng tĩnh</t>
        </is>
      </c>
      <c r="C51" s="35" t="inlineStr">
        <is>
          <t>1.类型:静态平衡阀
1. Loại: Van cân bằng tĩnh
2.规格:DN300
2. Quy cách: DN300
3.连接形式:法兰连接
3. Hình thức kết nối: Nối mặt bích
4.其他:符合设计图纸以及施工规范要求
4. Khác: Phù hợp yêu cầu của bản vẽ thiết kế và quy phạm thi công</t>
        </is>
      </c>
      <c r="D51" s="11" t="inlineStr">
        <is>
          <t>个
Cái</t>
        </is>
      </c>
      <c r="E51" s="36" t="n">
        <v>2</v>
      </c>
      <c r="F51" s="15" t="n"/>
      <c r="G51" s="15" t="n"/>
      <c r="H51" s="15">
        <f>F51+G51</f>
        <v/>
      </c>
      <c r="I51" s="13">
        <f>E51*H51</f>
        <v/>
      </c>
      <c r="J51" s="35" t="inlineStr">
        <is>
          <t>塘沽利盾、塘沽申瑞德、塘沽富恒星
Tanggu Lidun (塘沽利盾), Tanggu Shenruide (塘沽申瑞德), Tanggu Fuhengxing (塘沽富恒星)</t>
        </is>
      </c>
    </row>
    <row r="52" ht="97" customHeight="1">
      <c r="A52" s="11" t="n">
        <v>44</v>
      </c>
      <c r="B52" s="12" t="inlineStr">
        <is>
          <t>静态平衡阀
Van cân bằng tĩnh</t>
        </is>
      </c>
      <c r="C52" s="35" t="inlineStr">
        <is>
          <t>1.类型:静态平衡阀
1. Loại: Van cân bằng tĩnh
2.规格:DN250
2. Quy cách: DN250
3.连接形式:法兰连接
3. Hình thức kết nối: Nối mặt bích
4.其他:符合设计图纸以及施工规范要求
4. Khác: Phù hợp yêu cầu của bản vẽ thiết kế và quy phạm thi công</t>
        </is>
      </c>
      <c r="D52" s="11" t="inlineStr">
        <is>
          <t>个
Cái</t>
        </is>
      </c>
      <c r="E52" s="36" t="n">
        <v>1</v>
      </c>
      <c r="F52" s="15" t="n"/>
      <c r="G52" s="15" t="n"/>
      <c r="H52" s="15">
        <f>F52+G52</f>
        <v/>
      </c>
      <c r="I52" s="13">
        <f>E52*H52</f>
        <v/>
      </c>
      <c r="J52" s="35" t="inlineStr">
        <is>
          <t>塘沽利盾、塘沽申瑞德、塘沽富恒星
Tanggu Lidun (塘沽利盾), Tanggu Shenruide (塘沽申瑞德), Tanggu Fuhengxing (塘沽富恒星)</t>
        </is>
      </c>
    </row>
    <row r="53" ht="97" customHeight="1">
      <c r="A53" s="11" t="n">
        <v>45</v>
      </c>
      <c r="B53" s="12" t="inlineStr">
        <is>
          <t>静态平衡阀
Van cân bằng tĩnh</t>
        </is>
      </c>
      <c r="C53" s="35" t="inlineStr">
        <is>
          <t>1.类型:静态平衡阀
1. Loại: Van cân bằng tĩnh
2.规格:DN125
2. Quy cách: DN125
3.连接形式:法兰连接
3. Hình thức kết nối: Nối mặt bích
4.其他:符合设计图纸以及施工规范要求
4. Khác: Phù hợp yêu cầu của bản vẽ thiết kế và quy phạm thi công</t>
        </is>
      </c>
      <c r="D53" s="11" t="inlineStr">
        <is>
          <t>个
Cái</t>
        </is>
      </c>
      <c r="E53" s="36" t="n">
        <v>1</v>
      </c>
      <c r="F53" s="15" t="n"/>
      <c r="G53" s="15" t="n"/>
      <c r="H53" s="15">
        <f>F53+G53</f>
        <v/>
      </c>
      <c r="I53" s="13">
        <f>E53*H53</f>
        <v/>
      </c>
      <c r="J53" s="35" t="inlineStr">
        <is>
          <t>塘沽利盾、塘沽申瑞德、塘沽富恒星
Tanggu Lidun (塘沽利盾), Tanggu Shenruide (塘沽申瑞德), Tanggu Fuhengxing (塘沽富恒星)</t>
        </is>
      </c>
    </row>
    <row r="54" ht="97" customHeight="1">
      <c r="A54" s="11" t="n">
        <v>46</v>
      </c>
      <c r="B54" s="12" t="inlineStr">
        <is>
          <t>蜗轮对夹式蝶阀
Van bướm kiểu kẹp (wafer) vận hành bằng bánh vít</t>
        </is>
      </c>
      <c r="C54" s="35" t="inlineStr">
        <is>
          <t>1.类型:蜗轮对夹式蝶阀
1. Loại: Van bướm kiểu kẹp (wafer) vận hành bằng bánh vít
2.规格:DN600
2. Quy cách: DN600
3.连接形式:法兰连接
3. Hình thức kết nối: Nối mặt bích
4.其他:符合设计图纸以及施工规范要求
4. Khác: Phù hợp yêu cầu của bản vẽ thiết kế và quy phạm thi công</t>
        </is>
      </c>
      <c r="D54" s="11" t="inlineStr">
        <is>
          <t>个
Cái</t>
        </is>
      </c>
      <c r="E54" s="36" t="n">
        <v>2</v>
      </c>
      <c r="F54" s="15" t="n"/>
      <c r="G54" s="15" t="n"/>
      <c r="H54" s="15">
        <f>F54+G54</f>
        <v/>
      </c>
      <c r="I54" s="13">
        <f>E54*H54</f>
        <v/>
      </c>
      <c r="J54" s="35" t="inlineStr">
        <is>
          <t>塘沽利盾、塘沽申瑞德、塘沽富恒星
Tanggu Lidun (塘沽利盾), Tanggu Shenruide (塘沽申瑞德), Tanggu Fuhengxing (塘沽富恒星)</t>
        </is>
      </c>
    </row>
    <row r="55" ht="97" customHeight="1">
      <c r="A55" s="11" t="n">
        <v>47</v>
      </c>
      <c r="B55" s="12" t="inlineStr">
        <is>
          <t>蜗轮对夹式蝶阀
Van bướm kiểu kẹp (wafer) vận hành bằng bánh vít</t>
        </is>
      </c>
      <c r="C55" s="35" t="inlineStr">
        <is>
          <t>1.类型:蜗轮对夹式蝶阀
1. Loại: Van bướm kiểu kẹp (wafer) vận hành bằng bánh vít
2.规格:DN500
2. Quy cách: DN500
3.连接形式:法兰连接
3. Hình thức kết nối: Nối mặt bích
4.其他:符合设计图纸以及施工规范要求
4. Khác: Phù hợp yêu cầu của bản vẽ thiết kế và quy phạm thi công</t>
        </is>
      </c>
      <c r="D55" s="11" t="inlineStr">
        <is>
          <t>个
Cái</t>
        </is>
      </c>
      <c r="E55" s="36" t="n">
        <v>2</v>
      </c>
      <c r="F55" s="15" t="n"/>
      <c r="G55" s="15" t="n"/>
      <c r="H55" s="15">
        <f>F55+G55</f>
        <v/>
      </c>
      <c r="I55" s="13">
        <f>E55*H55</f>
        <v/>
      </c>
      <c r="J55" s="35" t="inlineStr">
        <is>
          <t>塘沽利盾、塘沽申瑞德、塘沽富恒星
Tanggu Lidun (塘沽利盾), Tanggu Shenruide (塘沽申瑞德), Tanggu Fuhengxing (塘沽富恒星)</t>
        </is>
      </c>
    </row>
    <row r="56" ht="97" customHeight="1">
      <c r="A56" s="11" t="n">
        <v>48</v>
      </c>
      <c r="B56" s="12" t="inlineStr">
        <is>
          <t>蜗轮对夹式蝶阀
Van bướm kiểu kẹp (wafer) vận hành bằng bánh vít</t>
        </is>
      </c>
      <c r="C56" s="35" t="inlineStr">
        <is>
          <t>1.类型:蜗轮对夹式蝶阀
1. Loại: Van bướm kiểu kẹp (wafer) vận hành bằng bánh vít
2.规格:DN350
2. Quy cách: DN350
3.连接形式:法兰连接
3. Hình thức kết nối: Nối mặt bích
4.其他:符合设计图纸以及施工规范要求
4. Khác: Phù hợp yêu cầu của bản vẽ thiết kế và quy phạm thi công</t>
        </is>
      </c>
      <c r="D56" s="11" t="inlineStr">
        <is>
          <t>个
Cái</t>
        </is>
      </c>
      <c r="E56" s="36" t="n">
        <v>2</v>
      </c>
      <c r="F56" s="15" t="n"/>
      <c r="G56" s="15" t="n"/>
      <c r="H56" s="15">
        <f>F56+G56</f>
        <v/>
      </c>
      <c r="I56" s="13">
        <f>E56*H56</f>
        <v/>
      </c>
      <c r="J56" s="35" t="inlineStr">
        <is>
          <t>塘沽利盾、塘沽申瑞德、塘沽富恒星
Tanggu Lidun (塘沽利盾), Tanggu Shenruide (塘沽申瑞德), Tanggu Fuhengxing (塘沽富恒星)</t>
        </is>
      </c>
    </row>
    <row r="57" ht="97" customHeight="1">
      <c r="A57" s="11" t="n">
        <v>49</v>
      </c>
      <c r="B57" s="12" t="inlineStr">
        <is>
          <t>蜗轮对夹式蝶阀
Van bướm kiểu kẹp (wafer) vận hành bằng bánh vít</t>
        </is>
      </c>
      <c r="C57" s="35" t="inlineStr">
        <is>
          <t>1.类型:蜗轮对夹式蝶阀
1. Loại: Van bướm kiểu kẹp (wafer) vận hành bằng bánh vít
2.规格:DN300
2. Quy cách: DN300
3.连接形式:法兰连接
3. Hình thức kết nối: Nối mặt bích
4.其他:符合设计图纸以及施工规范要求
4. Khác: Phù hợp yêu cầu của bản vẽ thiết kế và quy phạm thi công</t>
        </is>
      </c>
      <c r="D57" s="11" t="inlineStr">
        <is>
          <t>个
Cái</t>
        </is>
      </c>
      <c r="E57" s="36" t="n">
        <v>32</v>
      </c>
      <c r="F57" s="15" t="n"/>
      <c r="G57" s="15" t="n"/>
      <c r="H57" s="15">
        <f>F57+G57</f>
        <v/>
      </c>
      <c r="I57" s="13">
        <f>E57*H57</f>
        <v/>
      </c>
      <c r="J57" s="35" t="inlineStr">
        <is>
          <t>塘沽利盾、塘沽申瑞德、塘沽富恒星
Tanggu Lidun (塘沽利盾), Tanggu Shenruide (塘沽申瑞德), Tanggu Fuhengxing (塘沽富恒星)</t>
        </is>
      </c>
    </row>
    <row r="58" ht="97" customHeight="1">
      <c r="A58" s="11" t="n">
        <v>50</v>
      </c>
      <c r="B58" s="12" t="inlineStr">
        <is>
          <t>蜗轮对夹式蝶阀
Van bướm kiểu kẹp (wafer) vận hành bằng bánh vít</t>
        </is>
      </c>
      <c r="C58" s="35" t="inlineStr">
        <is>
          <t>1.类型:蜗轮对夹式蝶阀
1. Loại: Van bướm kiểu kẹp (wafer) vận hành bằng bánh vít
2.规格:DN250
2. Quy cách: DN250
3.连接形式:法兰连接
3. Hình thức kết nối: Nối mặt bích
4.其他:符合设计图纸以及施工规范要求
4. Khác: Phù hợp yêu cầu của bản vẽ thiết kế và quy phạm thi công</t>
        </is>
      </c>
      <c r="D58" s="11" t="inlineStr">
        <is>
          <t>个
Cái</t>
        </is>
      </c>
      <c r="E58" s="36" t="n">
        <v>26</v>
      </c>
      <c r="F58" s="15" t="n"/>
      <c r="G58" s="15" t="n"/>
      <c r="H58" s="15">
        <f>F58+G58</f>
        <v/>
      </c>
      <c r="I58" s="13">
        <f>E58*H58</f>
        <v/>
      </c>
      <c r="J58" s="35" t="inlineStr">
        <is>
          <t>塘沽利盾、塘沽申瑞德、塘沽富恒星
Tanggu Lidun (塘沽利盾), Tanggu Shenruide (塘沽申瑞德), Tanggu Fuhengxing (塘沽富恒星)</t>
        </is>
      </c>
    </row>
    <row r="59" ht="97" customHeight="1">
      <c r="A59" s="11" t="n">
        <v>51</v>
      </c>
      <c r="B59" s="12" t="inlineStr">
        <is>
          <t>蜗轮对夹式蝶阀
Van bướm kiểu kẹp (wafer) vận hành bằng bánh vít</t>
        </is>
      </c>
      <c r="C59" s="35" t="inlineStr">
        <is>
          <t>1.类型:蜗轮对夹式蝶阀
1. Loại: Van bướm kiểu kẹp (wafer) vận hành bằng bánh vít
2.规格:DN200
2. Quy cách: DN200
3.连接形式:法兰连接
3. Hình thức kết nối: Nối mặt bích
4.其他:符合设计图纸以及施工规范要求
4. Khác: Phù hợp yêu cầu của bản vẽ thiết kế và quy phạm thi công</t>
        </is>
      </c>
      <c r="D59" s="11" t="inlineStr">
        <is>
          <t>个
Cái</t>
        </is>
      </c>
      <c r="E59" s="36" t="n">
        <v>12</v>
      </c>
      <c r="F59" s="15" t="n"/>
      <c r="G59" s="15" t="n"/>
      <c r="H59" s="15">
        <f>F59+G59</f>
        <v/>
      </c>
      <c r="I59" s="13">
        <f>E59*H59</f>
        <v/>
      </c>
      <c r="J59" s="35" t="inlineStr">
        <is>
          <t>塘沽利盾、塘沽申瑞德、塘沽富恒星
Tanggu Lidun (塘沽利盾), Tanggu Shenruide (塘沽申瑞德), Tanggu Fuhengxing (塘沽富恒星)</t>
        </is>
      </c>
    </row>
    <row r="60" ht="97" customHeight="1">
      <c r="A60" s="11" t="n">
        <v>52</v>
      </c>
      <c r="B60" s="12" t="inlineStr">
        <is>
          <t>蜗轮对夹式蝶阀
Van bướm kiểu kẹp (wafer) vận hành bằng bánh vít</t>
        </is>
      </c>
      <c r="C60" s="35" t="inlineStr">
        <is>
          <t>1.类型:蜗轮对夹式蝶阀
1. Loại: Van bướm kiểu kẹp (wafer) vận hành bằng bánh vít
2.规格:DN150
2. Quy cách: DN150
3.连接形式:法兰连接
3. Hình thức kết nối: Nối mặt bích
4.其他:符合设计图纸以及施工规范要求
4. Khác: Phù hợp yêu cầu của bản vẽ thiết kế và quy phạm thi công</t>
        </is>
      </c>
      <c r="D60" s="11" t="inlineStr">
        <is>
          <t>个
Cái</t>
        </is>
      </c>
      <c r="E60" s="36" t="n">
        <v>24</v>
      </c>
      <c r="F60" s="15" t="n"/>
      <c r="G60" s="15" t="n"/>
      <c r="H60" s="15">
        <f>F60+G60</f>
        <v/>
      </c>
      <c r="I60" s="13">
        <f>E60*H60</f>
        <v/>
      </c>
      <c r="J60" s="35" t="inlineStr">
        <is>
          <t>塘沽利盾、塘沽申瑞德、塘沽富恒星
Tanggu Lidun (塘沽利盾), Tanggu Shenruide (塘沽申瑞德), Tanggu Fuhengxing (塘沽富恒星)</t>
        </is>
      </c>
    </row>
    <row r="61" ht="97" customHeight="1">
      <c r="A61" s="11" t="n">
        <v>53</v>
      </c>
      <c r="B61" s="12" t="inlineStr">
        <is>
          <t>蜗轮对夹式蝶阀
Van bướm kiểu kẹp (wafer) vận hành bằng bánh vít</t>
        </is>
      </c>
      <c r="C61" s="35" t="inlineStr">
        <is>
          <t>1.类型:蜗轮对夹式蝶阀
1. Loại: Van bướm kiểu kẹp (wafer) vận hành bằng bánh vít
2.规格:DN125
2. Quy cách: DN125
3.连接形式:法兰连接
3. Hình thức kết nối: Nối mặt bích
4.其他:符合设计图纸以及施工规范要求
4. Khác: Phù hợp yêu cầu của bản vẽ thiết kế và quy phạm thi công</t>
        </is>
      </c>
      <c r="D61" s="11" t="inlineStr">
        <is>
          <t>个
Cái</t>
        </is>
      </c>
      <c r="E61" s="36" t="n">
        <v>2</v>
      </c>
      <c r="F61" s="15" t="n"/>
      <c r="G61" s="15" t="n"/>
      <c r="H61" s="15">
        <f>F61+G61</f>
        <v/>
      </c>
      <c r="I61" s="13">
        <f>E61*H61</f>
        <v/>
      </c>
      <c r="J61" s="35" t="inlineStr">
        <is>
          <t>塘沽利盾、塘沽申瑞德、塘沽富恒星
Tanggu Lidun (塘沽利盾), Tanggu Shenruide (塘沽申瑞德), Tanggu Fuhengxing (塘沽富恒星)</t>
        </is>
      </c>
    </row>
    <row r="62" ht="97" customHeight="1">
      <c r="A62" s="11" t="n">
        <v>54</v>
      </c>
      <c r="B62" s="12" t="inlineStr">
        <is>
          <t>蜗轮对夹式蝶阀
Van bướm kiểu kẹp (wafer) vận hành bằng bánh vít</t>
        </is>
      </c>
      <c r="C62" s="35" t="inlineStr">
        <is>
          <t>1.类型:蜗轮对夹式蝶阀
1. Loại: Van bướm kiểu kẹp (wafer) vận hành bằng bánh vít
2.规格:DN100
2. Quy cách: DN100
3.连接形式:法兰连接
3. Hình thức kết nối: Nối mặt bích
4.其他:符合设计图纸以及施工规范要求
4. Khác: Phù hợp yêu cầu của bản vẽ thiết kế và quy phạm thi công</t>
        </is>
      </c>
      <c r="D62" s="11" t="inlineStr">
        <is>
          <t>个
Cái</t>
        </is>
      </c>
      <c r="E62" s="36" t="n">
        <v>2</v>
      </c>
      <c r="F62" s="15" t="n"/>
      <c r="G62" s="15" t="n"/>
      <c r="H62" s="15">
        <f>F62+G62</f>
        <v/>
      </c>
      <c r="I62" s="13">
        <f>E62*H62</f>
        <v/>
      </c>
      <c r="J62" s="35" t="inlineStr">
        <is>
          <t>塘沽利盾、塘沽申瑞德、塘沽富恒星
Tanggu Lidun (塘沽利盾), Tanggu Shenruide (塘沽申瑞德), Tanggu Fuhengxing (塘沽富恒星)</t>
        </is>
      </c>
    </row>
    <row r="63" ht="97" customHeight="1">
      <c r="A63" s="11" t="n">
        <v>55</v>
      </c>
      <c r="B63" s="12" t="inlineStr">
        <is>
          <t>铜闸阀
Van cổng bằng đồng</t>
        </is>
      </c>
      <c r="C63" s="35" t="inlineStr">
        <is>
          <t>1.类型:铜闸阀
1. Loại: Van cổng bằng đồng
2.规格:DN50
2. Quy cách: DN50
3.连接形式:螺纹连接
3. Hình thức kết nối: Nối ren
4.其他:符合设计图纸以及施工规范要求
4. Khác: Phù hợp yêu cầu của bản vẽ thiết kế và quy phạm thi công</t>
        </is>
      </c>
      <c r="D63" s="11" t="inlineStr">
        <is>
          <t>个
Cái</t>
        </is>
      </c>
      <c r="E63" s="36" t="n">
        <v>20</v>
      </c>
      <c r="F63" s="15" t="n"/>
      <c r="G63" s="15" t="n"/>
      <c r="H63" s="15">
        <f>F63+G63</f>
        <v/>
      </c>
      <c r="I63" s="13">
        <f>E63*H63</f>
        <v/>
      </c>
      <c r="J63" s="35" t="inlineStr">
        <is>
          <t>埃美柯、塘沽利盾、塘沽申瑞德、塘沽富恒星
AMICO (埃美柯), Tanggu Lidun (塘沽利盾), Tanggu Shenruide (塘沽申瑞德), Tanggu Fuhengxing (塘沽富恒星)</t>
        </is>
      </c>
    </row>
    <row r="64" ht="97" customHeight="1">
      <c r="A64" s="11" t="n">
        <v>56</v>
      </c>
      <c r="B64" s="12" t="inlineStr">
        <is>
          <t>铜闸阀
Van cổng bằng đồng</t>
        </is>
      </c>
      <c r="C64" s="35" t="inlineStr">
        <is>
          <t>1.类型:铜闸阀
1. Loại: Van cổng bằng đồng
2.规格:DN40
2. Quy cách: DN40
3.连接形式:螺纹连接
3. Hình thức kết nối: Nối ren
4.其他:符合设计图纸以及施工规范要求
4. Khác: Phù hợp yêu cầu của bản vẽ thiết kế và quy phạm thi công</t>
        </is>
      </c>
      <c r="D64" s="11" t="inlineStr">
        <is>
          <t>个
Cái</t>
        </is>
      </c>
      <c r="E64" s="36" t="n">
        <v>1</v>
      </c>
      <c r="F64" s="15" t="n"/>
      <c r="G64" s="15" t="n"/>
      <c r="H64" s="15">
        <f>F64+G64</f>
        <v/>
      </c>
      <c r="I64" s="13">
        <f>E64*H64</f>
        <v/>
      </c>
      <c r="J64" s="35" t="inlineStr">
        <is>
          <t>埃美柯、塘沽利盾、塘沽申瑞德、塘沽富恒星
AMICO (埃美柯), Tanggu Lidun (塘沽利盾), Tanggu Shenruide (塘沽申瑞德), Tanggu Fuhengxing (塘沽富恒星)</t>
        </is>
      </c>
    </row>
    <row r="65" ht="97" customHeight="1">
      <c r="A65" s="11" t="n">
        <v>57</v>
      </c>
      <c r="B65" s="12" t="inlineStr">
        <is>
          <t>铜闸阀
Van cổng bằng đồng</t>
        </is>
      </c>
      <c r="C65" s="35" t="inlineStr">
        <is>
          <t>1.类型:铜闸阀
1. Loại: Van cổng bằng đồng
2.规格:DN32
2. Quy cách: DN32
3.连接形式:螺纹连接
3. Hình thức kết nối: Nối ren
4.其他:符合设计图纸以及施工规范要求
4. Khác: Phù hợp yêu cầu của bản vẽ thiết kế và quy phạm thi công</t>
        </is>
      </c>
      <c r="D65" s="11" t="inlineStr">
        <is>
          <t>个
Cái</t>
        </is>
      </c>
      <c r="E65" s="36" t="n">
        <v>40</v>
      </c>
      <c r="F65" s="15" t="n"/>
      <c r="G65" s="15" t="n"/>
      <c r="H65" s="15">
        <f>F65+G65</f>
        <v/>
      </c>
      <c r="I65" s="13">
        <f>E65*H65</f>
        <v/>
      </c>
      <c r="J65" s="35" t="inlineStr">
        <is>
          <t>埃美柯、塘沽利盾、塘沽申瑞德、塘沽富恒星
AMICO (埃美柯), Tanggu Lidun (塘沽利盾), Tanggu Shenruide (塘沽申瑞德), Tanggu Fuhengxing (塘沽富恒星)</t>
        </is>
      </c>
    </row>
    <row r="66" ht="97" customHeight="1">
      <c r="A66" s="11" t="n">
        <v>58</v>
      </c>
      <c r="B66" s="12" t="inlineStr">
        <is>
          <t>铜闸阀
Van cổng bằng đồng</t>
        </is>
      </c>
      <c r="C66" s="35" t="inlineStr">
        <is>
          <t>1.类型:铜闸阀
1. Loại: Van cổng bằng đồng
2.规格:DN25
2. Quy cách: DN25
3.连接形式:螺纹连接
3. Hình thức kết nối: Nối ren
4.其他:符合设计图纸以及施工规范要求
4. Khác: Phù hợp yêu cầu của bản vẽ thiết kế và quy phạm thi công</t>
        </is>
      </c>
      <c r="D66" s="11" t="inlineStr">
        <is>
          <t>个
Cái</t>
        </is>
      </c>
      <c r="E66" s="36" t="n">
        <v>8</v>
      </c>
      <c r="F66" s="15" t="n"/>
      <c r="G66" s="15" t="n"/>
      <c r="H66" s="15">
        <f>F66+G66</f>
        <v/>
      </c>
      <c r="I66" s="13">
        <f>E66*H66</f>
        <v/>
      </c>
      <c r="J66" s="35" t="inlineStr">
        <is>
          <t>埃美柯、塘沽利盾、塘沽申瑞德、塘沽富恒星
AMICO (埃美柯), Tanggu Lidun (塘沽利盾), Tanggu Shenruide (塘沽申瑞德), Tanggu Fuhengxing (塘沽富恒星)</t>
        </is>
      </c>
    </row>
    <row r="67" ht="97" customHeight="1">
      <c r="A67" s="11" t="n">
        <v>59</v>
      </c>
      <c r="B67" s="12" t="inlineStr">
        <is>
          <t>铜闸阀
Van cổng bằng đồng</t>
        </is>
      </c>
      <c r="C67" s="35" t="inlineStr">
        <is>
          <t>1.类型:铜闸阀
1. Loại: Van cổng bằng đồng
2.规格:DN20
2. Quy cách: DN20
3.连接形式:螺纹连接
3. Hình thức kết nối: Nối ren
4.其他:符合设计图纸以及施工规范要求
4. Khác: Phù hợp yêu cầu của bản vẽ thiết kế và quy phạm thi công</t>
        </is>
      </c>
      <c r="D67" s="11" t="inlineStr">
        <is>
          <t>个
Cái</t>
        </is>
      </c>
      <c r="E67" s="36" t="n">
        <v>6</v>
      </c>
      <c r="F67" s="15" t="n"/>
      <c r="G67" s="15" t="n"/>
      <c r="H67" s="15">
        <f>F67+G67</f>
        <v/>
      </c>
      <c r="I67" s="13">
        <f>E67*H67</f>
        <v/>
      </c>
      <c r="J67" s="35" t="inlineStr">
        <is>
          <t>埃美柯、塘沽利盾、塘沽申瑞德、塘沽富恒星
AMICO (埃美柯), Tanggu Lidun (塘沽利盾), Tanggu Shenruide (塘沽申瑞德), Tanggu Fuhengxing (塘沽富恒星)</t>
        </is>
      </c>
    </row>
    <row r="68" ht="74" customHeight="1">
      <c r="A68" s="11" t="n">
        <v>60</v>
      </c>
      <c r="B68" s="12" t="inlineStr">
        <is>
          <t>浮球阀
Van phao</t>
        </is>
      </c>
      <c r="C68" s="35" t="inlineStr">
        <is>
          <t>1.名称:浮球阀
1. Tên: Van phao
2.规格:DN25
2. Quy cách: DN25
3.其他:符合设计图纸及施工规范要求
3. Khác: Phù hợp yêu cầu của bản vẽ thiết kế và quy phạm thi công</t>
        </is>
      </c>
      <c r="D68" s="11" t="inlineStr">
        <is>
          <t>个
Cái</t>
        </is>
      </c>
      <c r="E68" s="36" t="n">
        <v>1</v>
      </c>
      <c r="F68" s="15" t="n"/>
      <c r="G68" s="15" t="n"/>
      <c r="H68" s="15">
        <f>F68+G68</f>
        <v/>
      </c>
      <c r="I68" s="13">
        <f>E68*H68</f>
        <v/>
      </c>
      <c r="J68" s="35" t="inlineStr">
        <is>
          <t>埃美柯、塘沽利盾、塘沽申瑞德、塘沽富恒星
AMICO (埃美柯), Tanggu Lidun (塘沽利盾), Tanggu Shenruide (塘沽申瑞德), Tanggu Fuhengxing (塘沽富恒星)</t>
        </is>
      </c>
    </row>
    <row r="69" ht="97" customHeight="1">
      <c r="A69" s="11" t="n">
        <v>61</v>
      </c>
      <c r="B69" s="12" t="inlineStr">
        <is>
          <t>角通式过滤器
Bộ lọc kiểu góc</t>
        </is>
      </c>
      <c r="C69" s="35" t="inlineStr">
        <is>
          <t>1.类型:角通式过滤器
1. Loại: Bộ lọc kiểu góc
2.规格:DN300
2. Quy cách: DN300
3.连接形式:法兰连接
3. Hình thức kết nối: Nối mặt bích
4.其他:符合设计图纸及施工规范要求
4. Khác: Phù hợp yêu cầu của bản vẽ thiết kế và quy phạm thi công</t>
        </is>
      </c>
      <c r="D69" s="11" t="inlineStr">
        <is>
          <t>个
Cái</t>
        </is>
      </c>
      <c r="E69" s="36" t="n">
        <v>8</v>
      </c>
      <c r="F69" s="15" t="n"/>
      <c r="G69" s="15" t="n"/>
      <c r="H69" s="15">
        <f>F69+G69</f>
        <v/>
      </c>
      <c r="I69" s="13">
        <f>E69*H69</f>
        <v/>
      </c>
      <c r="J69" s="35" t="inlineStr">
        <is>
          <t>塘沽利盾、塘沽申瑞德、塘沽富恒星
Tanggu Lidun (塘沽利盾), Tanggu Shenruide (塘沽申瑞德), Tanggu Fuhengxing (塘沽富恒星)</t>
        </is>
      </c>
    </row>
    <row r="70" ht="97" customHeight="1">
      <c r="A70" s="11" t="n">
        <v>62</v>
      </c>
      <c r="B70" s="12" t="inlineStr">
        <is>
          <t>橡胶瓣止回阀
Van một chiều lá cao su</t>
        </is>
      </c>
      <c r="C70" s="35" t="inlineStr">
        <is>
          <t>1.类型:橡胶瓣止回阀
1. Loại: Van một chiều lá cao su
2.规格:DN300
2. Quy cách: DN300
3.连接形式:法兰连接
3. Hình thức kết nối: Nối mặt bích
4.其他:符合设计图纸以及施工规范要求
4. Khác: Phù hợp yêu cầu của bản vẽ thiết kế và quy phạm thi công</t>
        </is>
      </c>
      <c r="D70" s="11" t="inlineStr">
        <is>
          <t>个
Cái</t>
        </is>
      </c>
      <c r="E70" s="36" t="n">
        <v>8</v>
      </c>
      <c r="F70" s="15" t="n"/>
      <c r="G70" s="15" t="n"/>
      <c r="H70" s="15">
        <f>F70+G70</f>
        <v/>
      </c>
      <c r="I70" s="13">
        <f>E70*H70</f>
        <v/>
      </c>
      <c r="J70" s="35" t="inlineStr">
        <is>
          <t>塘沽利盾、塘沽申瑞德、塘沽富恒星
Tanggu Lidun (塘沽利盾), Tanggu Shenruide (塘沽申瑞德), Tanggu Fuhengxing (塘沽富恒星)</t>
        </is>
      </c>
    </row>
    <row r="71" ht="97" customHeight="1">
      <c r="A71" s="11" t="n">
        <v>63</v>
      </c>
      <c r="B71" s="12" t="inlineStr">
        <is>
          <t>止回阀
Van một chiều</t>
        </is>
      </c>
      <c r="C71" s="35" t="inlineStr">
        <is>
          <t>1.类型:止回阀
1. Loại: Van một chiều
2.规格:DN100
2. Quy cách: DN100
3.连接形式:法兰连接
3. Hình thức kết nối: Nối mặt bích
4.其他:符合设计图纸以及施工规范要求
4. Khác: Phù hợp yêu cầu của bản vẽ thiết kế và quy phạm thi công</t>
        </is>
      </c>
      <c r="D71" s="11" t="inlineStr">
        <is>
          <t>个
Cái</t>
        </is>
      </c>
      <c r="E71" s="36" t="n">
        <v>1</v>
      </c>
      <c r="F71" s="15" t="n"/>
      <c r="G71" s="15" t="n"/>
      <c r="H71" s="15">
        <f>F71+G71</f>
        <v/>
      </c>
      <c r="I71" s="13">
        <f>E71*H71</f>
        <v/>
      </c>
      <c r="J71" s="35" t="inlineStr">
        <is>
          <t>塘沽利盾、塘沽申瑞德、塘沽富恒星
Tanggu Lidun (塘沽利盾), Tanggu Shenruide (塘沽申瑞德), Tanggu Fuhengxing (塘沽富恒星)</t>
        </is>
      </c>
    </row>
    <row r="72" ht="97" customHeight="1">
      <c r="A72" s="11" t="n">
        <v>64</v>
      </c>
      <c r="B72" s="12" t="inlineStr">
        <is>
          <t>止回阀
Van một chiều</t>
        </is>
      </c>
      <c r="C72" s="35" t="inlineStr">
        <is>
          <t>1.类型:止回阀
1. Loại: Van một chiều
2.规格:DN25
2. Quy cách: DN25
3.连接形式:法兰连接
3. Hình thức kết nối: Nối mặt bích
4.其他:符合设计图纸以及施工规范要求
4. Khác: Phù hợp yêu cầu của bản vẽ thiết kế và quy phạm thi công</t>
        </is>
      </c>
      <c r="D72" s="11" t="inlineStr">
        <is>
          <t>个
Cái</t>
        </is>
      </c>
      <c r="E72" s="36" t="n">
        <v>1</v>
      </c>
      <c r="F72" s="15" t="n"/>
      <c r="G72" s="15" t="n"/>
      <c r="H72" s="15">
        <f>F72+G72</f>
        <v/>
      </c>
      <c r="I72" s="13">
        <f>E72*H72</f>
        <v/>
      </c>
      <c r="J72" s="35" t="inlineStr">
        <is>
          <t>塘沽利盾、塘沽申瑞德、塘沽富恒星
Tanggu Lidun (塘沽利盾), Tanggu Shenruide (塘沽申瑞德), Tanggu Fuhengxing (塘沽富恒星)</t>
        </is>
      </c>
    </row>
    <row r="73" ht="97" customHeight="1">
      <c r="A73" s="11" t="n">
        <v>65</v>
      </c>
      <c r="B73" s="12" t="inlineStr">
        <is>
          <t>橡胶软接头
Khớp nối mềm cao su</t>
        </is>
      </c>
      <c r="C73" s="35" t="inlineStr">
        <is>
          <t>1.类型:橡胶软接头（负压）
1. Loại: Khớp nối mềm cao su (áp âm)
2.规格:DN300
2. Quy cách: DN300
3.连接形式:法兰连接
3. Hình thức kết nối: Nối mặt bích
4.其他:符合设计图纸以及施工规范要求
4. Khác: Phù hợp yêu cầu của bản vẽ thiết kế và quy phạm thi công</t>
        </is>
      </c>
      <c r="D73" s="11" t="inlineStr">
        <is>
          <t>个
Cái</t>
        </is>
      </c>
      <c r="E73" s="36" t="n">
        <v>8</v>
      </c>
      <c r="F73" s="15" t="n"/>
      <c r="G73" s="15" t="n"/>
      <c r="H73" s="15">
        <f>F73+G73</f>
        <v/>
      </c>
      <c r="I73" s="13">
        <f>E73*H73</f>
        <v/>
      </c>
      <c r="J73" s="35" t="inlineStr">
        <is>
          <t>塘沽利盾、塘沽申瑞德、塘沽富恒星
Tanggu Lidun (塘沽利盾), Tanggu Shenruide (塘沽申瑞德), Tanggu Fuhengxing (塘沽富恒星)</t>
        </is>
      </c>
    </row>
    <row r="74" ht="97" customHeight="1">
      <c r="A74" s="11" t="n">
        <v>66</v>
      </c>
      <c r="B74" s="12" t="inlineStr">
        <is>
          <t>橡胶软接头
Khớp nối mềm cao su</t>
        </is>
      </c>
      <c r="C74" s="35" t="inlineStr">
        <is>
          <t>1.类型:橡胶软接头
1. Loại: Khớp nối mềm cao su
2.规格:DN300
2. Quy cách: DN300
3.连接形式:法兰连接
3. Hình thức kết nối: Nối mặt bích
4.其他:符合设计图纸以及施工规范要求
4. Khác: Phù hợp yêu cầu của bản vẽ thiết kế và quy phạm thi công</t>
        </is>
      </c>
      <c r="D74" s="11" t="inlineStr">
        <is>
          <t>个
Cái</t>
        </is>
      </c>
      <c r="E74" s="36" t="n">
        <v>20</v>
      </c>
      <c r="F74" s="15" t="n"/>
      <c r="G74" s="15" t="n"/>
      <c r="H74" s="15">
        <f>F74+G74</f>
        <v/>
      </c>
      <c r="I74" s="13">
        <f>E74*H74</f>
        <v/>
      </c>
      <c r="J74" s="35" t="inlineStr">
        <is>
          <t>塘沽利盾、塘沽申瑞德、塘沽富恒星
Tanggu Lidun (塘沽利盾), Tanggu Shenruide (塘沽申瑞德), Tanggu Fuhengxing (塘沽富恒星)</t>
        </is>
      </c>
    </row>
    <row r="75" ht="97" customHeight="1">
      <c r="A75" s="11" t="n">
        <v>67</v>
      </c>
      <c r="B75" s="12" t="inlineStr">
        <is>
          <t>橡胶软接头
Khớp nối mềm cao su</t>
        </is>
      </c>
      <c r="C75" s="35" t="inlineStr">
        <is>
          <t>1.类型:橡胶软接头
1. Loại: Khớp nối mềm cao su
2.规格:DN250
2. Quy cách: DN250
3.连接形式:法兰连接
3. Hình thức kết nối: Nối mặt bích
4.其他:符合设计图纸以及施工规范要求
4. Khác: Phù hợp yêu cầu của bản vẽ thiết kế và quy phạm thi công</t>
        </is>
      </c>
      <c r="D75" s="11" t="inlineStr">
        <is>
          <t>个
Cái</t>
        </is>
      </c>
      <c r="E75" s="36" t="n">
        <v>6</v>
      </c>
      <c r="F75" s="15" t="n"/>
      <c r="G75" s="15" t="n"/>
      <c r="H75" s="15">
        <f>F75+G75</f>
        <v/>
      </c>
      <c r="I75" s="13">
        <f>E75*H75</f>
        <v/>
      </c>
      <c r="J75" s="35" t="inlineStr">
        <is>
          <t>塘沽利盾、塘沽申瑞德、塘沽富恒星
Tanggu Lidun (塘沽利盾), Tanggu Shenruide (塘沽申瑞德), Tanggu Fuhengxing (塘沽富恒星)</t>
        </is>
      </c>
    </row>
    <row r="76" ht="97" customHeight="1">
      <c r="A76" s="11" t="n">
        <v>68</v>
      </c>
      <c r="B76" s="12" t="inlineStr">
        <is>
          <t>橡胶软接头
Khớp nối mềm cao su</t>
        </is>
      </c>
      <c r="C76" s="35" t="inlineStr">
        <is>
          <t>1.类型:橡胶软接头
1. Loại: Khớp nối mềm cao su
2.规格:DN200
2. Quy cách: DN200
3.连接形式:法兰连接
3. Hình thức kết nối: Nối mặt bích
4.其他:符合设计图纸以及施工规范要求
4. Khác: Phù hợp yêu cầu của bản vẽ thiết kế và quy phạm thi công</t>
        </is>
      </c>
      <c r="D76" s="11" t="inlineStr">
        <is>
          <t>个
Cái</t>
        </is>
      </c>
      <c r="E76" s="36" t="n">
        <v>12</v>
      </c>
      <c r="F76" s="15" t="n"/>
      <c r="G76" s="15" t="n"/>
      <c r="H76" s="15">
        <f>F76+G76</f>
        <v/>
      </c>
      <c r="I76" s="13">
        <f>E76*H76</f>
        <v/>
      </c>
      <c r="J76" s="35" t="inlineStr">
        <is>
          <t>塘沽利盾、塘沽申瑞德、塘沽富恒星
Tanggu Lidun (塘沽利盾), Tanggu Shenruide (塘沽申瑞德), Tanggu Fuhengxing (塘沽富恒星)</t>
        </is>
      </c>
    </row>
    <row r="77" ht="97" customHeight="1">
      <c r="A77" s="11" t="n">
        <v>69</v>
      </c>
      <c r="B77" s="12" t="inlineStr">
        <is>
          <t>远传智能水表
Đồng hồ nước thông minh truyền tín hiệu từ xa</t>
        </is>
      </c>
      <c r="C77" s="35" t="inlineStr">
        <is>
          <t>1.规格:DN25
1. Quy cách: DN25
2.连接形式:螺纹连接
2. Hình thức kết nối: Nối ren
3.带485远程通讯接口
3. Có cổng truyền thông từ xa 485
4.其他:符合设计图纸及施工规范要求
4. Khác: Phù hợp yêu cầu của bản vẽ thiết kế và quy phạm thi công</t>
        </is>
      </c>
      <c r="D77" s="11" t="inlineStr">
        <is>
          <t>个
Cái</t>
        </is>
      </c>
      <c r="E77" s="36" t="n">
        <v>1</v>
      </c>
      <c r="F77" s="15" t="n"/>
      <c r="G77" s="15" t="n"/>
      <c r="H77" s="15">
        <f>F77+G77</f>
        <v/>
      </c>
      <c r="I77" s="13">
        <f>E77*H77</f>
        <v/>
      </c>
      <c r="J77" s="35" t="inlineStr">
        <is>
          <t>国产优质
Hàng sản xuất trong nước chất lượng cao</t>
        </is>
      </c>
    </row>
    <row r="78" ht="97" customHeight="1">
      <c r="A78" s="11" t="n">
        <v>70</v>
      </c>
      <c r="B78" s="12" t="inlineStr">
        <is>
          <t>远传智能水表
Đồng hồ nước thông minh truyền tín hiệu từ xa</t>
        </is>
      </c>
      <c r="C78" s="35" t="inlineStr">
        <is>
          <t>1.规格:DN100
1. Quy cách: DN100
2.连接形式:法兰连接
2. Hình thức kết nối: Nối mặt bích
3.带485远程通讯接口
3. Có cổng truyền thông từ xa 485
4.其他:符合设计图纸及施工规范要求
4. Khác: Phù hợp yêu cầu của bản vẽ thiết kế và quy phạm thi công</t>
        </is>
      </c>
      <c r="D78" s="11" t="inlineStr">
        <is>
          <t>个
Cái</t>
        </is>
      </c>
      <c r="E78" s="36" t="n">
        <v>1</v>
      </c>
      <c r="F78" s="15" t="n"/>
      <c r="G78" s="15" t="n"/>
      <c r="H78" s="15">
        <f>F78+G78</f>
        <v/>
      </c>
      <c r="I78" s="13">
        <f>E78*H78</f>
        <v/>
      </c>
      <c r="J78" s="35" t="inlineStr">
        <is>
          <t>国产优质
Hàng sản xuất trong nước chất lượng cao</t>
        </is>
      </c>
    </row>
    <row r="79" ht="74" customHeight="1">
      <c r="A79" s="11" t="n">
        <v>71</v>
      </c>
      <c r="B79" s="12" t="inlineStr">
        <is>
          <t>水流开关
Công tắc dòng chảy</t>
        </is>
      </c>
      <c r="C79" s="35" t="inlineStr">
        <is>
          <t>1.名称:水流开关
1. Tên: Công tắc dòng chảy
2.规格:DN25
2. Quy cách: DN25
3.其他:符合设计图纸及施工规范要求
3. Khác: Phù hợp yêu cầu của bản vẽ thiết kế và quy phạm thi công</t>
        </is>
      </c>
      <c r="D79" s="11" t="inlineStr">
        <is>
          <t>台
Máy</t>
        </is>
      </c>
      <c r="E79" s="36" t="n">
        <v>6</v>
      </c>
      <c r="F79" s="15" t="n"/>
      <c r="G79" s="15" t="n"/>
      <c r="H79" s="15">
        <f>F79+G79</f>
        <v/>
      </c>
      <c r="I79" s="13">
        <f>E79*H79</f>
        <v/>
      </c>
      <c r="J79" s="35" t="n"/>
    </row>
    <row r="80" ht="74" customHeight="1">
      <c r="A80" s="11" t="n">
        <v>72</v>
      </c>
      <c r="B80" s="12" t="inlineStr">
        <is>
          <t>套管温度计
Nhiệt kế kiểu ống bọc</t>
        </is>
      </c>
      <c r="C80" s="35" t="inlineStr">
        <is>
          <t>1、名称:不锈钢套管式温度计
1. Tên: Nhiệt kế kiểu ống bọc bằng thép không gỉ
2、规格:0~50℃
2. Quy cách: 0~50℃
3.其他:符合设计图纸及施工规范要求
3. Khác: Phù hợp yêu cầu của bản vẽ thiết kế và quy phạm thi công</t>
        </is>
      </c>
      <c r="D80" s="11" t="inlineStr">
        <is>
          <t>支
Chiếc</t>
        </is>
      </c>
      <c r="E80" s="36" t="n">
        <v>14</v>
      </c>
      <c r="F80" s="15" t="n"/>
      <c r="G80" s="15" t="n"/>
      <c r="H80" s="15">
        <f>F80+G80</f>
        <v/>
      </c>
      <c r="I80" s="13">
        <f>E80*H80</f>
        <v/>
      </c>
      <c r="J80" s="35" t="inlineStr">
        <is>
          <t>红旗、华科、富阳
Hongqi (红旗), Huake (华科), Fuyang (富阳)</t>
        </is>
      </c>
    </row>
    <row r="81" ht="85.5" customHeight="1">
      <c r="A81" s="11" t="n">
        <v>73</v>
      </c>
      <c r="B81" s="12" t="inlineStr">
        <is>
          <t>压力表
Đồng hồ áp suất</t>
        </is>
      </c>
      <c r="C81" s="35" t="inlineStr">
        <is>
          <t>1、名称:压力表（负压表）
1. Tên: Đồng hồ áp suất (đồng hồ áp âm)
2、表盘直径100mm，含不锈钢表弯、含DN15铜球阀
2. Đường kính mặt đồng hồ 100mm, gồm ống siphon (ống cong) bằng thép không gỉ, gồm van bi đồng DN15
3.其他:符合设计图纸及施工规范要求
3. Khác: Phù hợp yêu cầu của bản vẽ thiết kế và quy phạm thi công</t>
        </is>
      </c>
      <c r="D81" s="11" t="inlineStr">
        <is>
          <t>块
Cái</t>
        </is>
      </c>
      <c r="E81" s="36" t="n">
        <v>16</v>
      </c>
      <c r="F81" s="15" t="n"/>
      <c r="G81" s="15" t="n"/>
      <c r="H81" s="15">
        <f>F81+G81</f>
        <v/>
      </c>
      <c r="I81" s="13">
        <f>E81*H81</f>
        <v/>
      </c>
      <c r="J81" s="35" t="inlineStr">
        <is>
          <t>红旗、华科、富阳
Hongqi (红旗), Huake (华科), Fuyang (富阳)</t>
        </is>
      </c>
    </row>
    <row r="82" ht="85.5" customHeight="1">
      <c r="A82" s="11" t="n">
        <v>74</v>
      </c>
      <c r="B82" s="12" t="inlineStr">
        <is>
          <t>压力表
Đồng hồ áp suất</t>
        </is>
      </c>
      <c r="C82" s="35" t="inlineStr">
        <is>
          <t>1、名称:压力表（0-1.6MPa）
1. Tên: Đồng hồ áp suất (0-1.6MPa)
2、表盘直径100mm，含不锈钢表弯、含DN15铜球阀
2. Đường kính mặt đồng hồ 100mm, gồm ống siphon (ống cong) bằng thép không gỉ, gồm van bi đồng DN15
3.其他:符合设计图纸及施工规范要求
3. Khác: Phù hợp yêu cầu của bản vẽ thiết kế và quy phạm thi công</t>
        </is>
      </c>
      <c r="D82" s="11" t="inlineStr">
        <is>
          <t>块
Cái</t>
        </is>
      </c>
      <c r="E82" s="36" t="n">
        <v>22</v>
      </c>
      <c r="F82" s="15" t="n"/>
      <c r="G82" s="15" t="n"/>
      <c r="H82" s="15">
        <f>F82+G82</f>
        <v/>
      </c>
      <c r="I82" s="13">
        <f>E82*H82</f>
        <v/>
      </c>
      <c r="J82" s="35" t="inlineStr">
        <is>
          <t>红旗、华科、富阳
Hongqi (红旗), Huake (华科), Fuyang (富阳)</t>
        </is>
      </c>
    </row>
    <row r="83" ht="51" customHeight="1">
      <c r="A83" s="11" t="n">
        <v>75</v>
      </c>
      <c r="B83" s="12" t="inlineStr">
        <is>
          <t>标识牌
Biển nhận diện</t>
        </is>
      </c>
      <c r="C83" s="35" t="inlineStr">
        <is>
          <t>1.名称:设备及管道标识
1. Tên: Nhận diện thiết bị và đường ống
2.位置:制冷机房及天面冷却塔
2. Vị trí: Phòng máy lạnh và tháp giải nhiệt trên mái</t>
        </is>
      </c>
      <c r="D83" s="11" t="inlineStr">
        <is>
          <t>项
Hạng mục</t>
        </is>
      </c>
      <c r="E83" s="36" t="n">
        <v>1</v>
      </c>
      <c r="F83" s="15" t="n"/>
      <c r="G83" s="15" t="n"/>
      <c r="H83" s="15">
        <f>F83+G83</f>
        <v/>
      </c>
      <c r="I83" s="13">
        <f>E83*H83</f>
        <v/>
      </c>
      <c r="J83" s="35" t="n"/>
    </row>
    <row r="84" ht="74" customHeight="1">
      <c r="A84" s="11" t="n">
        <v>76</v>
      </c>
      <c r="B84" s="12" t="inlineStr">
        <is>
          <t>墙体开孔、洞及修复、套管制作安装
Khoan lỗ, mở lỗ tường và sửa chữa hoàn trả, chế tạo và lắp đặt ống lồng</t>
        </is>
      </c>
      <c r="C84" s="35" t="inlineStr">
        <is>
          <t>1.类型:墙体开孔及修复、套管制作安装
1. Loại: Khoan lỗ tường và sửa chữa hoàn trả, chế tạo và lắp đặt ống lồng
2.材质：穿墙刚性防水套管
2. Vật liệu: Ống lồng chống thấm loại cứng xuyên tường
3.其他:符合设计图纸以及施工规范要求
3. Khác: Phù hợp yêu cầu của bản vẽ thiết kế và quy phạm thi công</t>
        </is>
      </c>
      <c r="D84" s="11" t="inlineStr">
        <is>
          <t>项
Hạng mục</t>
        </is>
      </c>
      <c r="E84" s="36" t="n">
        <v>1</v>
      </c>
      <c r="F84" s="15" t="n"/>
      <c r="G84" s="15" t="n"/>
      <c r="H84" s="15">
        <f>F84+G84</f>
        <v/>
      </c>
      <c r="I84" s="13">
        <f>E84*H84</f>
        <v/>
      </c>
      <c r="J84" s="35" t="n"/>
    </row>
    <row r="85" ht="74" customHeight="1">
      <c r="A85" s="11" t="n">
        <v>77</v>
      </c>
      <c r="B85" s="12" t="inlineStr">
        <is>
          <t>立管楼板开孔及修复、套管制作安装
Khoan lỗ sàn cho ống đứng và sửa chữa hoàn trả, chế tạo và lắp đặt ống lồng</t>
        </is>
      </c>
      <c r="C85" s="35" t="inlineStr">
        <is>
          <t>1.类型:楼板开孔及修复、套管制作安装                          2、名称、类型:刚性防水套管
1. Loại: Khoan lỗ sàn và sửa chữa hoàn trả, chế tạo và lắp đặt ống lồng                          2. Tên, loại: Ống lồng chống thấm loại cứng
3、材质:焊接钢管、钢板
3. Vật liệu: Ống thép hàn, thép tấm</t>
        </is>
      </c>
      <c r="D85" s="11" t="inlineStr">
        <is>
          <t>项
Hạng mục</t>
        </is>
      </c>
      <c r="E85" s="36" t="n">
        <v>1</v>
      </c>
      <c r="F85" s="15" t="n"/>
      <c r="G85" s="15" t="n"/>
      <c r="H85" s="15">
        <f>F85+G85</f>
        <v/>
      </c>
      <c r="I85" s="13">
        <f>E85*H85</f>
        <v/>
      </c>
      <c r="J85" s="35" t="n"/>
    </row>
    <row r="86" ht="39.5" customHeight="1">
      <c r="A86" s="11" t="n">
        <v>78</v>
      </c>
      <c r="B86" s="12" t="inlineStr">
        <is>
          <t>空调系统检测、调试
Kiểm tra, chạy thử hệ thống điều hòa</t>
        </is>
      </c>
      <c r="C86" s="35" t="inlineStr">
        <is>
          <t>空调水工程系统调试
Chạy thử hệ thống công trình nước điều hòa</t>
        </is>
      </c>
      <c r="D86" s="11" t="inlineStr">
        <is>
          <t>系统
Hệ thống</t>
        </is>
      </c>
      <c r="E86" s="36" t="n">
        <v>1</v>
      </c>
      <c r="F86" s="15" t="n"/>
      <c r="G86" s="15" t="n"/>
      <c r="H86" s="15">
        <f>F86+G86</f>
        <v/>
      </c>
      <c r="I86" s="13">
        <f>E86*H86</f>
        <v/>
      </c>
      <c r="J86" s="35" t="n"/>
    </row>
    <row r="87">
      <c r="A87" s="37" t="n"/>
      <c r="B87" s="38" t="inlineStr">
        <is>
          <t>小计 / Cộng</t>
        </is>
      </c>
      <c r="C87" s="37" t="n"/>
      <c r="D87" s="37" t="n"/>
      <c r="E87" s="37" t="n"/>
      <c r="F87" s="37" t="n"/>
      <c r="G87" s="37" t="n"/>
      <c r="H87" s="37" t="n"/>
      <c r="I87" s="39">
        <f>SUM(I19:I86)</f>
        <v/>
      </c>
      <c r="J87" s="37" t="n"/>
    </row>
    <row r="88" ht="28" customHeight="1">
      <c r="A88" s="33" t="inlineStr">
        <is>
          <t>三、
III.</t>
        </is>
      </c>
      <c r="B88" s="34" t="inlineStr">
        <is>
          <t>空调电气系统 / Hệ thống điện điều hòa</t>
        </is>
      </c>
      <c r="C88" s="34" t="n"/>
      <c r="D88" s="34" t="n"/>
      <c r="E88" s="34" t="n"/>
      <c r="F88" s="34" t="n"/>
      <c r="G88" s="34" t="n"/>
      <c r="H88" s="34" t="n"/>
      <c r="I88" s="34" t="n"/>
      <c r="J88" s="34" t="n"/>
    </row>
    <row r="89" ht="74" customHeight="1">
      <c r="A89" s="11" t="n">
        <v>79</v>
      </c>
      <c r="B89" s="12" t="inlineStr">
        <is>
          <t>智能电表箱
Tủ đồng hồ điện thông minh</t>
        </is>
      </c>
      <c r="C89" s="35" t="inlineStr">
        <is>
          <t>1.名称：智能电表箱
1. Tên: Tủ đồng hồ điện thông minh
2.成品箱，内含多功能电表、互感器、接线端子等
2. Tủ thành phẩm, bên trong gồm đồng hồ điện đa năng, biến dòng, cầu đấu dây, v.v.
3.安装方式：悬挂式
3. Phương thức lắp đặt: Treo tường</t>
        </is>
      </c>
      <c r="D89" s="11" t="inlineStr">
        <is>
          <t>台
Máy</t>
        </is>
      </c>
      <c r="E89" s="36" t="n">
        <v>3</v>
      </c>
      <c r="F89" s="15" t="n">
        <v>4950000</v>
      </c>
      <c r="G89" s="15" t="n">
        <v>2750000</v>
      </c>
      <c r="H89" s="15">
        <f>F89+G89</f>
        <v/>
      </c>
      <c r="I89" s="13">
        <f>E89*H89</f>
        <v/>
      </c>
      <c r="J89" s="35" t="inlineStr">
        <is>
          <t>安科瑞
Acrel (安科瑞)</t>
        </is>
      </c>
    </row>
    <row r="90" ht="143" customHeight="1">
      <c r="A90" s="11" t="n">
        <v>80</v>
      </c>
      <c r="B90" s="12" t="inlineStr">
        <is>
          <t>冷冻水泵变频控制柜
Tủ điều khiển biến tần bơm nước lạnh
ACPL-01</t>
        </is>
      </c>
      <c r="C90" s="35" t="inlineStr">
        <is>
          <t>1.名称：冷冻水泵变频控制柜
1. Tên: Tủ điều khiển biến tần bơm nước lạnh
2.编号：ACPL-01
2. Mã hiệu: ACPL-01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5.仿威图机柜：1800*1000*800
5. Tủ kiểu Rittal (威图): 1800*1000*800</t>
        </is>
      </c>
      <c r="D90" s="11" t="inlineStr">
        <is>
          <t>台
Máy</t>
        </is>
      </c>
      <c r="E90" s="36" t="n">
        <v>1</v>
      </c>
      <c r="F90" s="15" t="n">
        <v>148500000</v>
      </c>
      <c r="G90" s="15" t="n">
        <v>71500000</v>
      </c>
      <c r="H90" s="15">
        <f>F90+G90</f>
        <v/>
      </c>
      <c r="I90" s="13">
        <f>E90*H90</f>
        <v/>
      </c>
      <c r="J90" s="35" t="inlineStr">
        <is>
          <t>变频器及电气元器件：ABB、施耐德
Biến tần và linh kiện điện: ABB, Schneider (施耐德)
多功能电表：安科瑞
Đồng hồ điện đa năng: Acrel (安科瑞)</t>
        </is>
      </c>
    </row>
    <row r="91" ht="143" customHeight="1">
      <c r="A91" s="11" t="n">
        <v>81</v>
      </c>
      <c r="B91" s="12" t="inlineStr">
        <is>
          <t>冷冻水泵变频控制柜
Tủ điều khiển biến tần bơm nước lạnh
ACPL-02</t>
        </is>
      </c>
      <c r="C91" s="35" t="inlineStr">
        <is>
          <t>1.名称：冷冻水泵变频控制柜
1. Tên: Tủ điều khiển biến tần bơm nước lạnh
2.编号：ACPL-02
2. Mã hiệu: ACPL-02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5.仿威图机柜：1800*1000*800
5. Tủ kiểu Rittal (威图): 1800*1000*800</t>
        </is>
      </c>
      <c r="D91" s="11" t="inlineStr">
        <is>
          <t>台
Máy</t>
        </is>
      </c>
      <c r="E91" s="36" t="n">
        <v>1</v>
      </c>
      <c r="F91" s="15" t="n">
        <v>148500000</v>
      </c>
      <c r="G91" s="15" t="n">
        <v>71500000</v>
      </c>
      <c r="H91" s="15">
        <f>F91+G91</f>
        <v/>
      </c>
      <c r="I91" s="13">
        <f>E91*H91</f>
        <v/>
      </c>
      <c r="J91" s="35" t="inlineStr">
        <is>
          <t>变频器及电气元器件：ABB、施耐德
Biến tần và linh kiện điện: ABB, Schneider (施耐德)
多功能电表：安科瑞
Đồng hồ điện đa năng: Acrel (安科瑞)</t>
        </is>
      </c>
    </row>
    <row r="92" ht="143" customHeight="1">
      <c r="A92" s="11" t="n">
        <v>82</v>
      </c>
      <c r="B92" s="12" t="inlineStr">
        <is>
          <t>冷却水泵变频控制柜
Tủ điều khiển biến tần bơm nước giải nhiệt
ACPL-03</t>
        </is>
      </c>
      <c r="C92" s="35" t="inlineStr">
        <is>
          <t>1.名称：冷却水泵变频控制柜
1. Tên: Tủ điều khiển biến tần bơm nước giải nhiệt
2.编号：ACPL-03
2. Mã hiệu: ACPL-03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5.仿威图机柜：1800*1000*800
5. Tủ kiểu Rittal (威图): 1800*1000*800</t>
        </is>
      </c>
      <c r="D92" s="11" t="inlineStr">
        <is>
          <t>台
Máy</t>
        </is>
      </c>
      <c r="E92" s="36" t="n">
        <v>1</v>
      </c>
      <c r="F92" s="15" t="n">
        <v>148500000</v>
      </c>
      <c r="G92" s="15" t="n">
        <v>71500000</v>
      </c>
      <c r="H92" s="15">
        <f>F92+G92</f>
        <v/>
      </c>
      <c r="I92" s="13">
        <f>E92*H92</f>
        <v/>
      </c>
      <c r="J92" s="35" t="inlineStr">
        <is>
          <t>变频器及电气元器件：ABB、施耐德
Biến tần và linh kiện điện: ABB, Schneider (施耐德)
多功能电表：安科瑞
Đồng hồ điện đa năng: Acrel (安科瑞)</t>
        </is>
      </c>
    </row>
    <row r="93" ht="143" customHeight="1">
      <c r="A93" s="11" t="n">
        <v>83</v>
      </c>
      <c r="B93" s="12" t="inlineStr">
        <is>
          <t>冷却水泵变频控制柜
Tủ điều khiển biến tần bơm nước giải nhiệt
ACPL-04</t>
        </is>
      </c>
      <c r="C93" s="35" t="inlineStr">
        <is>
          <t>1.名称：冷却水泵变频控制柜
1. Tên: Tủ điều khiển biến tần bơm nước giải nhiệt
2.编号：ACPL-04
2. Mã hiệu: ACPL-04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5.仿威图机柜：1800*1000*800
5. Tủ kiểu Rittal (威图): 1800*1000*800</t>
        </is>
      </c>
      <c r="D93" s="11" t="inlineStr">
        <is>
          <t>台
Máy</t>
        </is>
      </c>
      <c r="E93" s="36" t="n">
        <v>1</v>
      </c>
      <c r="F93" s="15" t="n">
        <v>132000000</v>
      </c>
      <c r="G93" s="15" t="n">
        <v>71500000</v>
      </c>
      <c r="H93" s="15">
        <f>F93+G93</f>
        <v/>
      </c>
      <c r="I93" s="13">
        <f>E93*H93</f>
        <v/>
      </c>
      <c r="J93" s="35" t="inlineStr">
        <is>
          <t>变频器及电气元器件：ABB、施耐德
Biến tần và linh kiện điện: ABB, Schneider (施耐德)
多功能电表：安科瑞
Đồng hồ điện đa năng: Acrel (安科瑞)</t>
        </is>
      </c>
    </row>
    <row r="94" ht="143" customHeight="1">
      <c r="A94" s="11" t="n">
        <v>84</v>
      </c>
      <c r="B94" s="12" t="inlineStr">
        <is>
          <t>冷却塔变频控制柜
Tủ điều khiển biến tần tháp giải nhiệt
ACPL-05</t>
        </is>
      </c>
      <c r="C94" s="35" t="inlineStr">
        <is>
          <t>1.名称：冷却塔变频控制柜
1. Tên: Tủ điều khiển biến tần tháp giải nhiệt
2.编号：ACPL-05
2. Mã hiệu: ACPL-05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5.仿威图机柜：1800*1200*800
5. Tủ kiểu Rittal (威图): 1800*1200*800</t>
        </is>
      </c>
      <c r="D94" s="11" t="inlineStr">
        <is>
          <t>台
Máy</t>
        </is>
      </c>
      <c r="E94" s="36" t="n">
        <v>1</v>
      </c>
      <c r="F94" s="15" t="n">
        <v>110000000</v>
      </c>
      <c r="G94" s="15" t="n">
        <v>71500000</v>
      </c>
      <c r="H94" s="15">
        <f>F94+G94</f>
        <v/>
      </c>
      <c r="I94" s="13">
        <f>E94*H94</f>
        <v/>
      </c>
      <c r="J94" s="35" t="inlineStr">
        <is>
          <t>变频器及电气元器件：ABB、施耐德
Biến tần và linh kiện điện: ABB, Schneider (施耐德)
多功能电表：安科瑞
Đồng hồ điện đa năng: Acrel (安科瑞)</t>
        </is>
      </c>
    </row>
    <row r="95" ht="143" customHeight="1">
      <c r="A95" s="11" t="n">
        <v>85</v>
      </c>
      <c r="B95" s="12" t="inlineStr">
        <is>
          <t>冷却塔变频控制柜
Tủ điều khiển biến tần tháp giải nhiệt
ACPL-06</t>
        </is>
      </c>
      <c r="C95" s="35" t="inlineStr">
        <is>
          <t>1.名称：冷却塔变频控制柜
1. Tên: Tủ điều khiển biến tần tháp giải nhiệt
2.编号：ACPL-06
2. Mã hiệu: ACPL-06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5.仿威图机柜：1800*800*800
5. Tủ kiểu Rittal (威图): 1800*800*800</t>
        </is>
      </c>
      <c r="D95" s="11" t="inlineStr">
        <is>
          <t>台
Máy</t>
        </is>
      </c>
      <c r="E95" s="36" t="n">
        <v>1</v>
      </c>
      <c r="F95" s="15" t="n">
        <v>93500000</v>
      </c>
      <c r="G95" s="15" t="n">
        <v>71500000</v>
      </c>
      <c r="H95" s="15">
        <f>F95+G95</f>
        <v/>
      </c>
      <c r="I95" s="13">
        <f>E95*H95</f>
        <v/>
      </c>
      <c r="J95" s="35" t="inlineStr">
        <is>
          <t>变频器及电气元器件：ABB、施耐德
Biến tần và linh kiện điện: ABB, Schneider (施耐德)
多功能电表：安科瑞
Đồng hồ điện đa năng: Acrel (安科瑞)</t>
        </is>
      </c>
    </row>
    <row r="96" ht="131.5" customHeight="1">
      <c r="A96" s="11" t="n">
        <v>86</v>
      </c>
      <c r="B96" s="12" t="inlineStr">
        <is>
          <t>电动阀门控制柜
Tủ điều khiển van điện
ACPL-07</t>
        </is>
      </c>
      <c r="C96" s="35" t="inlineStr">
        <is>
          <t>1.名称：冷却塔变频控制柜
1. Tên: Tủ điều khiển biến tần tháp giải nhiệt
2.编号：ACPL-07
2. Mã hiệu: ACPL-07
3.成品柜，内含负荷开关、互感器、多功能电表、接触器、继电器、接线端子、按钮、指示灯等
3. Tủ thành phẩm, bên trong gồm cầu dao phụ tải, biến dòng, đồng hồ điện đa năng, contactor, rơ-le, cầu đấu dây, nút nhấn, đèn báo, v.v.
4.安装方式：落地式
4. Phương thức lắp đặt: Đặt sàn
5.仿威图机柜：1800*800*800
5. Tủ kiểu Rittal (威图): 1800*800*800</t>
        </is>
      </c>
      <c r="D96" s="11" t="inlineStr">
        <is>
          <t>台
Máy</t>
        </is>
      </c>
      <c r="E96" s="36" t="n">
        <v>1</v>
      </c>
      <c r="F96" s="15" t="n">
        <v>82500000</v>
      </c>
      <c r="G96" s="15" t="n">
        <v>71500000</v>
      </c>
      <c r="H96" s="15">
        <f>F96+G96</f>
        <v/>
      </c>
      <c r="I96" s="13">
        <f>E96*H96</f>
        <v/>
      </c>
      <c r="J96" s="35" t="inlineStr">
        <is>
          <t>电气元器件：ABB、施耐德
Linh kiện điện: ABB, Schneider (施耐德)
多功能电表：安科瑞
Đồng hồ điện đa năng: Acrel (安科瑞)</t>
        </is>
      </c>
    </row>
    <row r="97" ht="74" customHeight="1">
      <c r="A97" s="11" t="n">
        <v>87</v>
      </c>
      <c r="B97" s="12" t="inlineStr">
        <is>
          <t>电力电缆
Cáp điện động lực</t>
        </is>
      </c>
      <c r="C97" s="35" t="inlineStr">
        <is>
          <t>1.名称:电力电缆
1. Tên: Cáp điện động lực
2.规格:YJV-3*70+1*35
2. Quy cách: YJV-3*70+1*35
3.材质:铜芯
3. Vật liệu: Lõi đồng</t>
        </is>
      </c>
      <c r="D97" s="11" t="inlineStr">
        <is>
          <t>m</t>
        </is>
      </c>
      <c r="E97" s="36" t="n">
        <v>129</v>
      </c>
      <c r="F97" s="15" t="n">
        <v>1210000</v>
      </c>
      <c r="G97" s="15" t="n">
        <v>440000</v>
      </c>
      <c r="H97" s="15">
        <f>F97+G97</f>
        <v/>
      </c>
      <c r="I97" s="13">
        <f>E97*H97</f>
        <v/>
      </c>
      <c r="J97" s="35" t="inlineStr">
        <is>
          <t>深圳成天泰，南洋，LS,Taya
Shenzhen Chengtiantai (深圳成天泰), Nanyang (南洋), LS, Taya</t>
        </is>
      </c>
    </row>
    <row r="98" ht="74" customHeight="1">
      <c r="A98" s="11" t="n">
        <v>88</v>
      </c>
      <c r="B98" s="12" t="inlineStr">
        <is>
          <t>电力电缆
Cáp điện động lực</t>
        </is>
      </c>
      <c r="C98" s="35" t="inlineStr">
        <is>
          <t>1.名称:电力电缆
1. Tên: Cáp điện động lực
2.规格:YJV-3*50+1*25
2. Quy cách: YJV-3*50+1*25
3.材质:铜芯
3. Vật liệu: Lõi đồng</t>
        </is>
      </c>
      <c r="D98" s="11" t="inlineStr">
        <is>
          <t>m</t>
        </is>
      </c>
      <c r="E98" s="36" t="n">
        <v>213</v>
      </c>
      <c r="F98" s="15" t="n">
        <v>825000</v>
      </c>
      <c r="G98" s="15" t="n">
        <v>385000</v>
      </c>
      <c r="H98" s="15">
        <f>F98+G98</f>
        <v/>
      </c>
      <c r="I98" s="13">
        <f>E98*H98</f>
        <v/>
      </c>
      <c r="J98" s="35" t="inlineStr">
        <is>
          <t>深圳成天泰，南洋，LS,Taya
Shenzhen Chengtiantai (深圳成天泰), Nanyang (南洋), LS, Taya</t>
        </is>
      </c>
    </row>
    <row r="99" ht="74" customHeight="1">
      <c r="A99" s="11" t="n">
        <v>89</v>
      </c>
      <c r="B99" s="12" t="inlineStr">
        <is>
          <t>电力电缆
Cáp điện động lực</t>
        </is>
      </c>
      <c r="C99" s="35" t="inlineStr">
        <is>
          <t>1.名称:电力电缆
1. Tên: Cáp điện động lực
2.规格:YJV-3*10+1*6
2. Quy cách: YJV-3*10+1*6
3.材质:铜芯
3. Vật liệu: Lõi đồng</t>
        </is>
      </c>
      <c r="D99" s="11" t="inlineStr">
        <is>
          <t>m</t>
        </is>
      </c>
      <c r="E99" s="36" t="n">
        <v>542</v>
      </c>
      <c r="F99" s="15" t="n">
        <v>242000</v>
      </c>
      <c r="G99" s="15" t="n">
        <v>220000</v>
      </c>
      <c r="H99" s="15">
        <f>F99+G99</f>
        <v/>
      </c>
      <c r="I99" s="13">
        <f>E99*H99</f>
        <v/>
      </c>
      <c r="J99" s="35" t="inlineStr">
        <is>
          <t>深圳成天泰，南洋，LS,Taya
Shenzhen Chengtiantai (深圳成天泰), Nanyang (南洋), LS, Taya</t>
        </is>
      </c>
    </row>
    <row r="100" ht="74" customHeight="1">
      <c r="A100" s="11" t="n">
        <v>90</v>
      </c>
      <c r="B100" s="12" t="inlineStr">
        <is>
          <t>电力电缆
Cáp điện động lực</t>
        </is>
      </c>
      <c r="C100" s="35" t="inlineStr">
        <is>
          <t>1.名称:电力电缆
1. Tên: Cáp điện động lực
2.规格:YJV-5*2.5
2. Quy cách: YJV-5*2.5
3.材质:铜芯
3. Vật liệu: Lõi đồng</t>
        </is>
      </c>
      <c r="D100" s="11" t="inlineStr">
        <is>
          <t>m</t>
        </is>
      </c>
      <c r="E100" s="36" t="n">
        <v>58</v>
      </c>
      <c r="F100" s="15" t="n">
        <v>192500</v>
      </c>
      <c r="G100" s="15" t="n">
        <v>181500</v>
      </c>
      <c r="H100" s="15">
        <f>F100+G100</f>
        <v/>
      </c>
      <c r="I100" s="13">
        <f>E100*H100</f>
        <v/>
      </c>
      <c r="J100" s="35" t="inlineStr">
        <is>
          <t>深圳成天泰，南洋，LS,Taya
Shenzhen Chengtiantai (深圳成天泰), Nanyang (南洋), LS, Taya</t>
        </is>
      </c>
    </row>
    <row r="101" ht="74" customHeight="1">
      <c r="A101" s="11" t="n">
        <v>91</v>
      </c>
      <c r="B101" s="12" t="inlineStr">
        <is>
          <t>电力电缆
Cáp điện động lực</t>
        </is>
      </c>
      <c r="C101" s="35" t="inlineStr">
        <is>
          <t>1.名称:电力电缆
1. Tên: Cáp điện động lực
2.规格:YJV-4*2.5
2. Quy cách: YJV-4*2.5
3.材质:铜芯
3. Vật liệu: Lõi đồng</t>
        </is>
      </c>
      <c r="D101" s="11" t="inlineStr">
        <is>
          <t>m</t>
        </is>
      </c>
      <c r="E101" s="36" t="n">
        <v>884</v>
      </c>
      <c r="F101" s="15" t="n">
        <v>165000</v>
      </c>
      <c r="G101" s="15" t="n">
        <v>132000</v>
      </c>
      <c r="H101" s="15">
        <f>F101+G101</f>
        <v/>
      </c>
      <c r="I101" s="13">
        <f>E101*H101</f>
        <v/>
      </c>
      <c r="J101" s="35" t="inlineStr">
        <is>
          <t>深圳成天泰，南洋，LS,Taya
Shenzhen Chengtiantai (深圳成天泰), Nanyang (南洋), LS, Taya</t>
        </is>
      </c>
    </row>
    <row r="102" ht="74" customHeight="1">
      <c r="A102" s="11" t="n">
        <v>92</v>
      </c>
      <c r="B102" s="12" t="inlineStr">
        <is>
          <t>电力电缆
Cáp điện động lực</t>
        </is>
      </c>
      <c r="C102" s="35" t="inlineStr">
        <is>
          <t>1.名称:电力电缆
1. Tên: Cáp điện động lực
2.规格:YJV-3*2.5
2. Quy cách: YJV-3*2.5
3.材质:铜芯
3. Vật liệu: Lõi đồng</t>
        </is>
      </c>
      <c r="D102" s="11" t="inlineStr">
        <is>
          <t>m</t>
        </is>
      </c>
      <c r="E102" s="36" t="n">
        <v>87</v>
      </c>
      <c r="F102" s="15" t="n">
        <v>137500</v>
      </c>
      <c r="G102" s="15" t="n">
        <v>93500</v>
      </c>
      <c r="H102" s="15">
        <f>F102+G102</f>
        <v/>
      </c>
      <c r="I102" s="13">
        <f>E102*H102</f>
        <v/>
      </c>
      <c r="J102" s="35" t="inlineStr">
        <is>
          <t>深圳成天泰，南洋，LS,Taya
Shenzhen Chengtiantai (深圳成天泰), Nanyang (南洋), LS, Taya</t>
        </is>
      </c>
    </row>
    <row r="103" ht="74" customHeight="1">
      <c r="A103" s="11" t="n">
        <v>93</v>
      </c>
      <c r="B103" s="12" t="inlineStr">
        <is>
          <t>控制线缆
Cáp điều khiển</t>
        </is>
      </c>
      <c r="C103" s="35" t="inlineStr">
        <is>
          <t>1.名称:控制线缆
1. Tên: Cáp điều khiển
2.规格:RVV-3*1.0
2. Quy cách: RVV-3*1.0
3.材质:铜芯
3. Vật liệu: Lõi đồng</t>
        </is>
      </c>
      <c r="D103" s="11" t="inlineStr">
        <is>
          <t>m</t>
        </is>
      </c>
      <c r="E103" s="36" t="n">
        <v>1031</v>
      </c>
      <c r="F103" s="15" t="n">
        <v>71500</v>
      </c>
      <c r="G103" s="15" t="n">
        <v>93500</v>
      </c>
      <c r="H103" s="15">
        <f>F103+G103</f>
        <v/>
      </c>
      <c r="I103" s="13">
        <f>E103*H103</f>
        <v/>
      </c>
      <c r="J103" s="35" t="inlineStr">
        <is>
          <t>深圳成天泰，南洋，LS,Taya
Shenzhen Chengtiantai (深圳成天泰), Nanyang (南洋), LS, Taya</t>
        </is>
      </c>
    </row>
    <row r="104" ht="97" customHeight="1">
      <c r="A104" s="11" t="n">
        <v>94</v>
      </c>
      <c r="B104" s="12" t="inlineStr">
        <is>
          <t>镀锌线槽
Máng cáp mạ kẽm</t>
        </is>
      </c>
      <c r="C104" s="35" t="inlineStr">
        <is>
          <t>1.名称:镀锌线槽
1. Tên: Máng cáp mạ kẽm
2.规格：800*200*1.5mm
2. Quy cách: 800*200*1.5mm
3.材质：镀锌钢板
3. Vật liệu: Thép tấm mạ kẽm
4.含配件
4. Gồm phụ kiện</t>
        </is>
      </c>
      <c r="D104" s="11" t="inlineStr">
        <is>
          <t>m</t>
        </is>
      </c>
      <c r="E104" s="36" t="n">
        <v>10</v>
      </c>
      <c r="F104" s="15" t="n">
        <v>803000</v>
      </c>
      <c r="G104" s="15" t="n">
        <v>715000</v>
      </c>
      <c r="H104" s="15">
        <f>F104+G104</f>
        <v/>
      </c>
      <c r="I104" s="13">
        <f>E104*H104</f>
        <v/>
      </c>
      <c r="J104" s="35" t="inlineStr">
        <is>
          <t>国产优质
Hàng sản xuất trong nước chất lượng cao</t>
        </is>
      </c>
    </row>
    <row r="105" ht="97" customHeight="1">
      <c r="A105" s="11" t="n">
        <v>95</v>
      </c>
      <c r="B105" s="12" t="inlineStr">
        <is>
          <t>镀锌线槽
Máng cáp mạ kẽm</t>
        </is>
      </c>
      <c r="C105" s="35" t="inlineStr">
        <is>
          <t>1.名称:镀锌线槽
1. Tên: Máng cáp mạ kẽm
2.规格：400*200*1.2mm
2. Quy cách: 400*200*1.2mm
3.材质：镀锌钢板
3. Vật liệu: Thép tấm mạ kẽm
4.含配件
4. Gồm phụ kiện</t>
        </is>
      </c>
      <c r="D105" s="11" t="inlineStr">
        <is>
          <t>m</t>
        </is>
      </c>
      <c r="E105" s="36" t="n">
        <v>18</v>
      </c>
      <c r="F105" s="15" t="n">
        <v>715000</v>
      </c>
      <c r="G105" s="15" t="n">
        <v>605000</v>
      </c>
      <c r="H105" s="15">
        <f>F105+G105</f>
        <v/>
      </c>
      <c r="I105" s="13">
        <f>E105*H105</f>
        <v/>
      </c>
      <c r="J105" s="35" t="inlineStr">
        <is>
          <t>国产优质
Hàng sản xuất trong nước chất lượng cao</t>
        </is>
      </c>
    </row>
    <row r="106" ht="97" customHeight="1">
      <c r="A106" s="11" t="n">
        <v>96</v>
      </c>
      <c r="B106" s="12" t="inlineStr">
        <is>
          <t>镀锌线槽
Máng cáp mạ kẽm</t>
        </is>
      </c>
      <c r="C106" s="35" t="inlineStr">
        <is>
          <t>1.名称:镀锌线槽
1. Tên: Máng cáp mạ kẽm
2.规格：300*150*1.2mm
2. Quy cách: 300*150*1.2mm
3.材质：镀锌钢板
3. Vật liệu: Thép tấm mạ kẽm
4.含配件
4. Gồm phụ kiện</t>
        </is>
      </c>
      <c r="D106" s="11" t="inlineStr">
        <is>
          <t>m</t>
        </is>
      </c>
      <c r="E106" s="36" t="n">
        <v>52</v>
      </c>
      <c r="F106" s="15" t="n">
        <v>495000</v>
      </c>
      <c r="G106" s="15" t="n">
        <v>385000</v>
      </c>
      <c r="H106" s="15">
        <f>F106+G106</f>
        <v/>
      </c>
      <c r="I106" s="13">
        <f>E106*H106</f>
        <v/>
      </c>
      <c r="J106" s="35" t="inlineStr">
        <is>
          <t>国产优质
Hàng sản xuất trong nước chất lượng cao</t>
        </is>
      </c>
    </row>
    <row r="107" ht="97" customHeight="1">
      <c r="A107" s="11" t="n">
        <v>97</v>
      </c>
      <c r="B107" s="12" t="inlineStr">
        <is>
          <t>镀锌线槽
Máng cáp mạ kẽm</t>
        </is>
      </c>
      <c r="C107" s="35" t="inlineStr">
        <is>
          <t>1.名称:镀锌线槽
1. Tên: Máng cáp mạ kẽm
2.规格：200*100*1.0mm
2. Quy cách: 200*100*1.0mm
3.材质：镀锌钢板
3. Vật liệu: Thép tấm mạ kẽm
4.含配件
4. Gồm phụ kiện</t>
        </is>
      </c>
      <c r="D107" s="11" t="inlineStr">
        <is>
          <t>m</t>
        </is>
      </c>
      <c r="E107" s="36" t="n">
        <v>42</v>
      </c>
      <c r="F107" s="15" t="n">
        <v>275000</v>
      </c>
      <c r="G107" s="15" t="n">
        <v>275000</v>
      </c>
      <c r="H107" s="15">
        <f>F107+G107</f>
        <v/>
      </c>
      <c r="I107" s="13">
        <f>E107*H107</f>
        <v/>
      </c>
      <c r="J107" s="35" t="inlineStr">
        <is>
          <t>国产优质
Hàng sản xuất trong nước chất lượng cao</t>
        </is>
      </c>
    </row>
    <row r="108" ht="97" customHeight="1">
      <c r="A108" s="11" t="n">
        <v>98</v>
      </c>
      <c r="B108" s="12" t="inlineStr">
        <is>
          <t>镀锌线槽
Máng cáp mạ kẽm</t>
        </is>
      </c>
      <c r="C108" s="35" t="inlineStr">
        <is>
          <t>1.名称:镀锌线槽
1. Tên: Máng cáp mạ kẽm
2.规格：150*100*1.0mm
2. Quy cách: 150*100*1.0mm
3.材质：镀锌钢板
3. Vật liệu: Thép tấm mạ kẽm
4.含配件
4. Gồm phụ kiện</t>
        </is>
      </c>
      <c r="D108" s="11" t="inlineStr">
        <is>
          <t>m</t>
        </is>
      </c>
      <c r="E108" s="36" t="n">
        <v>34</v>
      </c>
      <c r="F108" s="15" t="n">
        <v>242000</v>
      </c>
      <c r="G108" s="15" t="n">
        <v>275000</v>
      </c>
      <c r="H108" s="15">
        <f>F108+G108</f>
        <v/>
      </c>
      <c r="I108" s="13">
        <f>E108*H108</f>
        <v/>
      </c>
      <c r="J108" s="35" t="inlineStr">
        <is>
          <t>国产优质
Hàng sản xuất trong nước chất lượng cao</t>
        </is>
      </c>
    </row>
    <row r="109" ht="97" customHeight="1">
      <c r="A109" s="11" t="n">
        <v>99</v>
      </c>
      <c r="B109" s="12" t="inlineStr">
        <is>
          <t>PVC线管
Ống luồn dây điện PVC</t>
        </is>
      </c>
      <c r="C109" s="35" t="inlineStr">
        <is>
          <t>1.名称:PVC线管
1. Tên: Ống luồn dây điện PVC
2.规格：Φ40
2. Quy cách: Φ40
3.材质：U-PVC硬管
3. Vật liệu: Ống cứng U-PVC
4.含配件
4. Gồm phụ kiện</t>
        </is>
      </c>
      <c r="D109" s="11" t="inlineStr">
        <is>
          <t>m</t>
        </is>
      </c>
      <c r="E109" s="36" t="n">
        <v>72</v>
      </c>
      <c r="F109" s="15" t="n"/>
      <c r="G109" s="15" t="n"/>
      <c r="H109" s="15">
        <f>F109+G109</f>
        <v/>
      </c>
      <c r="I109" s="13">
        <f>E109*H109</f>
        <v/>
      </c>
      <c r="J109" s="35" t="inlineStr">
        <is>
          <t>联塑、日丰
Lesso (联塑), Rifeng (日丰)</t>
        </is>
      </c>
    </row>
    <row r="110" ht="97" customHeight="1">
      <c r="A110" s="11" t="n">
        <v>100</v>
      </c>
      <c r="B110" s="12" t="inlineStr">
        <is>
          <t>PVC线管
Ống luồn dây điện PVC</t>
        </is>
      </c>
      <c r="C110" s="35" t="inlineStr">
        <is>
          <t>1.名称:PVC线管
1. Tên: Ống luồn dây điện PVC
2.规格：Φ25
2. Quy cách: Φ25
3.材质：U-PVC硬管
3. Vật liệu: Ống cứng U-PVC
4.含配件
4. Gồm phụ kiện</t>
        </is>
      </c>
      <c r="D110" s="11" t="inlineStr">
        <is>
          <t>m</t>
        </is>
      </c>
      <c r="E110" s="36" t="n">
        <v>104</v>
      </c>
      <c r="F110" s="15" t="n">
        <v>110000</v>
      </c>
      <c r="G110" s="15" t="n">
        <v>88000</v>
      </c>
      <c r="H110" s="15">
        <f>F110+G110</f>
        <v/>
      </c>
      <c r="I110" s="13">
        <f>E110*H110</f>
        <v/>
      </c>
      <c r="J110" s="35" t="inlineStr">
        <is>
          <t>联塑、日丰
Lesso (联塑), Rifeng (日丰)</t>
        </is>
      </c>
    </row>
    <row r="111" ht="51" customHeight="1">
      <c r="A111" s="11" t="n">
        <v>101</v>
      </c>
      <c r="B111" s="12" t="inlineStr">
        <is>
          <t>线槽、线管支吊架
Giá treo đỡ máng cáp, ống luồn dây</t>
        </is>
      </c>
      <c r="C111" s="35" t="inlineStr">
        <is>
          <t>1.形式:吊托支架
1. Hình thức: Giá treo đỡ
2.材质:角钢、丝杆
2. Vật liệu: Thép góc, ty ren</t>
        </is>
      </c>
      <c r="D111" s="11" t="inlineStr">
        <is>
          <t>kg</t>
        </is>
      </c>
      <c r="E111" s="40" t="n">
        <v>610.7</v>
      </c>
      <c r="F111" s="15" t="n">
        <v>110000</v>
      </c>
      <c r="G111" s="15" t="n">
        <v>165000</v>
      </c>
      <c r="H111" s="15">
        <f>F111+G111</f>
        <v/>
      </c>
      <c r="I111" s="13">
        <f>E111*H111</f>
        <v/>
      </c>
      <c r="J111" s="35" t="inlineStr">
        <is>
          <t>国标
Tiêu chuẩn quốc gia (GB)</t>
        </is>
      </c>
    </row>
    <row r="112" ht="28" customHeight="1">
      <c r="A112" s="11" t="n">
        <v>102</v>
      </c>
      <c r="B112" s="12" t="inlineStr">
        <is>
          <t>安装辅材
Vật tư phụ lắp đặt</t>
        </is>
      </c>
      <c r="C112" s="35" t="inlineStr">
        <is>
          <t>线耳、扎带、电工胶布等
Đầu cos, dây rút, băng keo điện, v.v.</t>
        </is>
      </c>
      <c r="D112" s="11" t="inlineStr">
        <is>
          <t>项
Hạng mục</t>
        </is>
      </c>
      <c r="E112" s="36" t="n">
        <v>1</v>
      </c>
      <c r="F112" s="15" t="n">
        <v>55000000</v>
      </c>
      <c r="G112" s="15" t="n">
        <v>55000000</v>
      </c>
      <c r="H112" s="15">
        <f>F112+G112</f>
        <v/>
      </c>
      <c r="I112" s="13">
        <f>E112*H112</f>
        <v/>
      </c>
      <c r="J112" s="35" t="inlineStr">
        <is>
          <t>国标
Tiêu chuẩn quốc gia (GB)</t>
        </is>
      </c>
    </row>
    <row r="113" ht="28" customHeight="1">
      <c r="A113" s="11" t="n">
        <v>103</v>
      </c>
      <c r="B113" s="12" t="inlineStr">
        <is>
          <t>冷水机组接线
Đấu nối dây cụm chiller</t>
        </is>
      </c>
      <c r="C113" s="35" t="n"/>
      <c r="D113" s="11" t="inlineStr">
        <is>
          <t>台
Máy</t>
        </is>
      </c>
      <c r="E113" s="36" t="n">
        <v>3</v>
      </c>
      <c r="F113" s="15" t="n">
        <v>11000000</v>
      </c>
      <c r="G113" s="15" t="n">
        <v>11000000</v>
      </c>
      <c r="H113" s="15">
        <f>F113+G113</f>
        <v/>
      </c>
      <c r="I113" s="13">
        <f>E113*H113</f>
        <v/>
      </c>
      <c r="J113" s="35" t="n"/>
    </row>
    <row r="114">
      <c r="A114" s="37" t="n"/>
      <c r="B114" s="38" t="inlineStr">
        <is>
          <t>小计 / Cộng</t>
        </is>
      </c>
      <c r="C114" s="37" t="n"/>
      <c r="D114" s="37" t="n"/>
      <c r="E114" s="37" t="n"/>
      <c r="F114" s="37" t="n"/>
      <c r="G114" s="37" t="n"/>
      <c r="H114" s="37" t="n"/>
      <c r="I114" s="39">
        <f>SUM(I89:I113)</f>
        <v/>
      </c>
      <c r="J114" s="37" t="n"/>
    </row>
    <row r="115" ht="28" customHeight="1">
      <c r="A115" s="33" t="inlineStr">
        <is>
          <t>四、
IV.</t>
        </is>
      </c>
      <c r="B115" s="34" t="inlineStr">
        <is>
          <t>其他部分 / Phần khác</t>
        </is>
      </c>
      <c r="C115" s="34" t="n"/>
      <c r="D115" s="34" t="n"/>
      <c r="E115" s="34" t="n"/>
      <c r="F115" s="34" t="n"/>
      <c r="G115" s="34" t="n"/>
      <c r="H115" s="34" t="n"/>
      <c r="I115" s="34" t="n"/>
      <c r="J115" s="34" t="n"/>
    </row>
    <row r="116" ht="28" customHeight="1">
      <c r="A116" s="11" t="n">
        <v>104</v>
      </c>
      <c r="B116" s="12" t="inlineStr">
        <is>
          <t>搬运及吊车费
Chi phí vận chuyển và xe cẩu</t>
        </is>
      </c>
      <c r="C116" s="35" t="n"/>
      <c r="D116" s="11" t="inlineStr">
        <is>
          <t>项
Hạng mục</t>
        </is>
      </c>
      <c r="E116" s="36" t="n">
        <v>1</v>
      </c>
      <c r="F116" s="15" t="n"/>
      <c r="G116" s="15" t="n"/>
      <c r="H116" s="15">
        <f>F116+G116</f>
        <v/>
      </c>
      <c r="I116" s="13">
        <f>E116*H116</f>
        <v/>
      </c>
      <c r="J116" s="35" t="n"/>
    </row>
    <row r="117" ht="39.5" customHeight="1">
      <c r="A117" s="11" t="n">
        <v>105</v>
      </c>
      <c r="B117" s="12" t="inlineStr">
        <is>
          <t>脚手架搭拆费
Chi phí lắp dựng và tháo dỡ giàn giáo</t>
        </is>
      </c>
      <c r="C117" s="35" t="n"/>
      <c r="D117" s="11" t="inlineStr">
        <is>
          <t>项
Hạng mục</t>
        </is>
      </c>
      <c r="E117" s="36" t="n">
        <v>1</v>
      </c>
      <c r="F117" s="15" t="n"/>
      <c r="G117" s="15" t="n"/>
      <c r="H117" s="15">
        <f>F117+G117</f>
        <v/>
      </c>
      <c r="I117" s="13">
        <f>E117*H117</f>
        <v/>
      </c>
      <c r="J117" s="35" t="n"/>
    </row>
    <row r="118">
      <c r="A118" s="37" t="n"/>
      <c r="B118" s="38" t="inlineStr">
        <is>
          <t>小计 / Cộng</t>
        </is>
      </c>
      <c r="C118" s="37" t="n"/>
      <c r="D118" s="37" t="n"/>
      <c r="E118" s="37" t="n"/>
      <c r="F118" s="37" t="n"/>
      <c r="G118" s="37" t="n"/>
      <c r="H118" s="37" t="n"/>
      <c r="I118" s="39">
        <f>SUM(I116:I117)</f>
        <v/>
      </c>
      <c r="J118" s="37" t="n"/>
    </row>
    <row r="119" ht="32" customHeight="1">
      <c r="A119" s="41" t="inlineStr">
        <is>
          <t>合计（一+二+三+四）：
Tổng cộng (I+II+III+IV):</t>
        </is>
      </c>
      <c r="B119" s="42" t="n"/>
      <c r="C119" s="42" t="n"/>
      <c r="D119" s="42" t="n"/>
      <c r="E119" s="42" t="n"/>
      <c r="F119" s="42" t="n"/>
      <c r="G119" s="42" t="n"/>
      <c r="H119" s="42" t="n"/>
      <c r="I119" s="43">
        <f>I17+I87+I114+I118</f>
        <v/>
      </c>
      <c r="J119" s="42" t="n"/>
    </row>
  </sheetData>
  <mergeCells count="22">
    <mergeCell ref="F4:G4"/>
    <mergeCell ref="B118:H118"/>
    <mergeCell ref="C4:C5"/>
    <mergeCell ref="E4:E5"/>
    <mergeCell ref="B88:J88"/>
    <mergeCell ref="B114:H114"/>
    <mergeCell ref="A119:H119"/>
    <mergeCell ref="D4:D5"/>
    <mergeCell ref="J4:J5"/>
    <mergeCell ref="B6:J6"/>
    <mergeCell ref="A1:G1"/>
    <mergeCell ref="A4:A5"/>
    <mergeCell ref="I4:I5"/>
    <mergeCell ref="H1:J1"/>
    <mergeCell ref="B4:B5"/>
    <mergeCell ref="B17:H17"/>
    <mergeCell ref="B115:J115"/>
    <mergeCell ref="A3:J3"/>
    <mergeCell ref="H4:H5"/>
    <mergeCell ref="B87:H87"/>
    <mergeCell ref="B18:J18"/>
    <mergeCell ref="A2:J2"/>
  </mergeCells>
  <conditionalFormatting sqref="F6:G119">
    <cfRule type="expression" priority="1" dxfId="0">
      <formula>AND($E6&lt;&gt;"",ISNUMBER($A6),F6="")</formula>
    </cfRule>
  </conditionalFormatting>
  <printOptions horizontalCentered="1"/>
  <pageMargins left="0.4" right="0.4" top="0.5" bottom="0.6" header="0.5" footer="0.5"/>
  <pageSetup orientation="landscape" paperSize="9" fitToHeight="0" fitToWidth="1"/>
  <headerFooter>
    <oddHeader/>
    <oddFooter>&amp;L&amp;8 BLT – Báo giá 报价单 MEGA&amp;R&amp;8 Trang 页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32"/>
  <sheetViews>
    <sheetView showGridLines="0" workbookViewId="0">
      <pane ySplit="5" topLeftCell="A6" activePane="bottomLeft" state="frozen"/>
      <selection pane="bottomLeft" activeCell="A1" sqref="A1"/>
    </sheetView>
  </sheetViews>
  <sheetFormatPr baseColWidth="8" defaultRowHeight="15"/>
  <cols>
    <col width="6" customWidth="1" min="1" max="1"/>
    <col width="28" customWidth="1" min="2" max="2"/>
    <col width="64" customWidth="1" min="3" max="3"/>
    <col width="9" customWidth="1" min="4" max="4"/>
    <col width="11" customWidth="1" min="5" max="5"/>
    <col width="15" customWidth="1" min="6" max="6"/>
    <col width="15" customWidth="1" min="7" max="7"/>
    <col width="16" customWidth="1" min="8" max="8"/>
    <col width="19" customWidth="1" min="9" max="9"/>
    <col width="26" customWidth="1" min="10" max="10"/>
  </cols>
  <sheetData>
    <row r="1" ht="22" customHeight="1">
      <c r="A1" s="27" t="inlineStr">
        <is>
          <t>[CÔNG TY TNHH / CỔ PHẦN …] BLT</t>
        </is>
      </c>
      <c r="B1" s="28" t="n"/>
      <c r="C1" s="28" t="n"/>
      <c r="D1" s="28" t="n"/>
      <c r="E1" s="28" t="n"/>
      <c r="F1" s="28" t="n"/>
      <c r="G1" s="28" t="n"/>
      <c r="H1" s="29" t="inlineStr">
        <is>
          <t>BÁO GIÁ 报价单 – Số 编号: BG-BLT-2026/[..]</t>
        </is>
      </c>
      <c r="I1" s="28" t="n"/>
      <c r="J1" s="28" t="n"/>
    </row>
    <row r="2" ht="34" customHeight="1">
      <c r="A2" s="30" t="inlineStr">
        <is>
          <t>分部分项工程量清单与计价表
Bảng khối lượng và đơn giá các hạng mục công trình</t>
        </is>
      </c>
    </row>
    <row r="3" ht="34" customHeight="1">
      <c r="A3" s="31" t="inlineStr">
        <is>
          <t>工程名称：BP2制冷机房智能自控系统工程
Tên công trình: Công trình hệ thống tự động điều khiển thông minh phòng máy lạnh BP2</t>
        </is>
      </c>
    </row>
    <row r="4" ht="30" customHeight="1">
      <c r="A4" s="32" t="inlineStr">
        <is>
          <t>序号
STT</t>
        </is>
      </c>
      <c r="B4" s="32" t="inlineStr">
        <is>
          <t>项目名称
Tên hạng mục</t>
        </is>
      </c>
      <c r="C4" s="32" t="inlineStr">
        <is>
          <t>项目特征描述
Mô tả đặc tính hạng mục</t>
        </is>
      </c>
      <c r="D4" s="32" t="inlineStr">
        <is>
          <t>计量单位
ĐVT</t>
        </is>
      </c>
      <c r="E4" s="32" t="inlineStr">
        <is>
          <t>工程量
Khối lượng</t>
        </is>
      </c>
      <c r="F4" s="32" t="inlineStr">
        <is>
          <t>综合单价组成 / Cấu thành đơn giá tổng hợp (VNĐ)</t>
        </is>
      </c>
      <c r="G4" s="32" t="n"/>
      <c r="H4" s="32" t="inlineStr">
        <is>
          <t>综合单价
Đơn giá tổng hợp
(VNĐ)</t>
        </is>
      </c>
      <c r="I4" s="32" t="inlineStr">
        <is>
          <t>合价
Thành tiền
(VNĐ)</t>
        </is>
      </c>
      <c r="J4" s="32" t="inlineStr">
        <is>
          <t>备注/品牌
Ghi chú / Thương hiệu</t>
        </is>
      </c>
    </row>
    <row r="5" ht="30" customHeight="1">
      <c r="A5" s="32" t="n"/>
      <c r="B5" s="32" t="n"/>
      <c r="C5" s="32" t="n"/>
      <c r="D5" s="32" t="n"/>
      <c r="E5" s="32" t="n"/>
      <c r="F5" s="32" t="inlineStr">
        <is>
          <t>材料单价
Đơn giá vật tư</t>
        </is>
      </c>
      <c r="G5" s="32" t="inlineStr">
        <is>
          <t>人工单价
Đơn giá nhân công</t>
        </is>
      </c>
      <c r="H5" s="32" t="n"/>
      <c r="I5" s="32" t="n"/>
      <c r="J5" s="32" t="n"/>
    </row>
    <row r="6" ht="39.5" customHeight="1">
      <c r="A6" s="11" t="n">
        <v>1</v>
      </c>
      <c r="B6" s="12" t="inlineStr">
        <is>
          <t>监控中心
Trung tâm giám sát</t>
        </is>
      </c>
      <c r="C6" s="35" t="inlineStr">
        <is>
          <t>英特尔酷睿CPU，i5-10400，8G内存，1T硬盘，win10系统，23英寸液晶显示器，含键盘鼠标
CPU Intel Core, i5-10400, RAM 8G, ổ cứng 1T, hệ điều hành win10, màn hình LCD 23 inch, gồm bàn phím và chuột</t>
        </is>
      </c>
      <c r="D6" s="11" t="inlineStr">
        <is>
          <t>台
Máy</t>
        </is>
      </c>
      <c r="E6" s="36" t="n">
        <v>1</v>
      </c>
      <c r="F6" s="15" t="n"/>
      <c r="G6" s="15" t="n"/>
      <c r="H6" s="15">
        <f>F6+G6</f>
        <v/>
      </c>
      <c r="I6" s="13">
        <f>E6*H6</f>
        <v/>
      </c>
      <c r="J6" s="35" t="inlineStr">
        <is>
          <t>华为、联想、DELL
Huawei (华为), Lenovo (联想), DELL</t>
        </is>
      </c>
    </row>
    <row r="7" ht="28" customHeight="1">
      <c r="A7" s="11" t="n">
        <v>2</v>
      </c>
      <c r="B7" s="12" t="inlineStr">
        <is>
          <t>UPS电源
Nguồn UPS</t>
        </is>
      </c>
      <c r="C7" s="35" t="inlineStr">
        <is>
          <t>3000W</t>
        </is>
      </c>
      <c r="D7" s="11" t="inlineStr">
        <is>
          <t>台
Máy</t>
        </is>
      </c>
      <c r="E7" s="36" t="n">
        <v>1</v>
      </c>
      <c r="F7" s="15" t="n"/>
      <c r="G7" s="15" t="n"/>
      <c r="H7" s="15">
        <f>F7+G7</f>
        <v/>
      </c>
      <c r="I7" s="13">
        <f>E7*H7</f>
        <v/>
      </c>
      <c r="J7" s="35" t="n"/>
    </row>
    <row r="8" ht="143" customHeight="1">
      <c r="A8" s="11" t="n">
        <v>3</v>
      </c>
      <c r="B8" s="12" t="inlineStr">
        <is>
          <t>PLC自动控制柜
Tủ điều khiển tự động PLC
ACPL-08</t>
        </is>
      </c>
      <c r="C8" s="35" t="inlineStr">
        <is>
          <t>1.名称：PLC自动控制柜
1. Tên: Tủ điều khiển tự động PLC
2.编号：ACPL-08
2. Mã hiệu: ACPL-08
3.成品柜，内含PLC控制器、15英寸触摸屏、I/O扩展模块、交换机、网关、中间继电器、接线端子、电源等
3. Tủ thành phẩm, bên trong gồm bộ điều khiển PLC, màn hình cảm ứng 15 inch, module mở rộng I/O, switch mạng, gateway, rơ-le trung gian, cầu đấu dây, nguồn điện, v.v.
4.安装方式：落地式
4. Phương thức lắp đặt: Đặt sàn
5.仿威图机柜：1800*800*800
5. Tủ kiểu Rittal (威图): 1800*800*800</t>
        </is>
      </c>
      <c r="D8" s="11" t="inlineStr">
        <is>
          <t>台
Máy</t>
        </is>
      </c>
      <c r="E8" s="36" t="n">
        <v>1</v>
      </c>
      <c r="F8" s="15" t="n"/>
      <c r="G8" s="15" t="n"/>
      <c r="H8" s="15">
        <f>F8+G8</f>
        <v/>
      </c>
      <c r="I8" s="13">
        <f>E8*H8</f>
        <v/>
      </c>
      <c r="J8" s="35" t="inlineStr">
        <is>
          <t>PLC控制器：西门子
Bộ điều khiển PLC: Siemens (西门子)
触摸屏：昆仑通泰、海为
Màn hình cảm ứng: MCGS Kunlun Tongtai (昆仑通泰), Haiwell (海为)
电气元器件：ABB、施耐德
Linh kiện điện: ABB, Schneider (施耐德)</t>
        </is>
      </c>
    </row>
    <row r="9" ht="177.5" customHeight="1">
      <c r="A9" s="11" t="n">
        <v>4</v>
      </c>
      <c r="B9" s="12" t="inlineStr">
        <is>
          <t>智能群控系统软件及编程
Phần mềm và lập trình hệ thống điều khiển nhóm thông minh</t>
        </is>
      </c>
      <c r="C9" s="35" t="inlineStr">
        <is>
          <t>1.机房设备联动控制，实现水冷机组、冷冻水泵、冷却水泵、冷却塔、电动阀的联动控制，台数控制，时间控制，备用泵的自动切换，手自动切换
1. Điều khiển liên động thiết bị phòng máy, thực hiện điều khiển liên động cụm chiller giải nhiệt nước, bơm nước lạnh, bơm nước giải nhiệt, tháp giải nhiệt, van điện; điều khiển số lượng máy vận hành, điều khiển theo thời gian, tự động chuyển đổi bơm dự phòng, chuyển đổi chế độ tay/tự động
2.多功能电表、冷热量、设备数据、气象数据等多维数据采集
2. Thu thập dữ liệu đa chiều như đồng hồ điện đa năng, năng lượng lạnh/nhiệt, dữ liệu thiết bị, dữ liệu khí tượng, v.v.
3.实时监测冷水机组、冷冻水泵、冷却水泵、冷却塔的实际能效值
3. Giám sát theo thời gian thực giá trị hiệu suất năng lượng thực tế của cụm chiller, bơm nước lạnh, bơm nước giải nhiệt, tháp giải nhiệt
4.控制逻辑： 基于负荷预测、故障诊断、优化控制算法实现制冷机房的全工况高效运行
4. Logic điều khiển: Dựa trên dự báo phụ tải, chẩn đoán sự cố và thuật toán điều khiển tối ưu để phòng máy lạnh vận hành hiệu quả cao trong mọi điều kiện làm việc</t>
        </is>
      </c>
      <c r="D9" s="11" t="inlineStr">
        <is>
          <t>套
Bộ</t>
        </is>
      </c>
      <c r="E9" s="36" t="n">
        <v>1</v>
      </c>
      <c r="F9" s="15" t="n"/>
      <c r="G9" s="15" t="n"/>
      <c r="H9" s="15">
        <f>F9+G9</f>
        <v/>
      </c>
      <c r="I9" s="13">
        <f>E9*H9</f>
        <v/>
      </c>
      <c r="J9" s="35" t="n"/>
    </row>
    <row r="10" ht="108.5" customHeight="1">
      <c r="A10" s="11" t="n">
        <v>5</v>
      </c>
      <c r="B10" s="12" t="inlineStr">
        <is>
          <t>智慧能效管控云平台
Nền tảng đám mây quản lý và kiểm soát hiệu suất năng lượng thông minh</t>
        </is>
      </c>
      <c r="C10" s="35" t="inlineStr">
        <is>
          <t>1.Web端+手机APP访问及管理软件
1. Phần mềm truy cập và quản lý qua Web + APP điện thoại
2.设备监控系统、能源管理、能效优化、系统设置、设备管理、大数据分析、运行及告警日志、权限管理等
2. Hệ thống giám sát thiết bị, quản lý năng lượng, tối ưu hóa hiệu suất năng lượng, cài đặt hệ thống, quản lý thiết bị, phân tích dữ liệu lớn, nhật ký vận hành và cảnh báo, quản lý phân quyền, v.v.
3.云端数据存储及维护服务
3. Dịch vụ lưu trữ và bảo trì dữ liệu trên đám mây</t>
        </is>
      </c>
      <c r="D10" s="11" t="inlineStr">
        <is>
          <t>套
Bộ</t>
        </is>
      </c>
      <c r="E10" s="36" t="n">
        <v>1</v>
      </c>
      <c r="F10" s="15" t="n"/>
      <c r="G10" s="15" t="n"/>
      <c r="H10" s="15">
        <f>F10+G10</f>
        <v/>
      </c>
      <c r="I10" s="13">
        <f>E10*H10</f>
        <v/>
      </c>
      <c r="J10" s="35" t="n"/>
    </row>
    <row r="11" ht="39.5" customHeight="1">
      <c r="A11" s="11" t="n">
        <v>6</v>
      </c>
      <c r="B11" s="12" t="inlineStr">
        <is>
          <t>现场系统调试，技术指导
Chạy thử hệ thống tại hiện trường, hướng dẫn kỹ thuật</t>
        </is>
      </c>
      <c r="C11" s="35" t="inlineStr">
        <is>
          <t>现场调试，校验，数值验证，技术安装指导等
Chạy thử tại hiện trường, hiệu chuẩn, xác minh số liệu, hướng dẫn kỹ thuật lắp đặt, v.v.</t>
        </is>
      </c>
      <c r="D11" s="11" t="inlineStr">
        <is>
          <t>项
Hạng mục</t>
        </is>
      </c>
      <c r="E11" s="36" t="n">
        <v>1</v>
      </c>
      <c r="F11" s="15" t="n"/>
      <c r="G11" s="15" t="n"/>
      <c r="H11" s="15">
        <f>F11+G11</f>
        <v/>
      </c>
      <c r="I11" s="13">
        <f>E11*H11</f>
        <v/>
      </c>
      <c r="J11" s="35" t="n"/>
    </row>
    <row r="12" ht="120" customHeight="1">
      <c r="A12" s="11" t="n">
        <v>7</v>
      </c>
      <c r="B12" s="12" t="inlineStr">
        <is>
          <t>高精度室外温湿度传感器
Cảm biến nhiệt độ - độ ẩm ngoài trời độ chính xác cao</t>
        </is>
      </c>
      <c r="C12" s="35" t="inlineStr">
        <is>
          <t>1.供电电源：24VDC
1. Nguồn cấp điện: 24VDC
2.精度：温度0.3℃@25℃，湿度±2%
2. Độ chính xác: nhiệt độ 0.3℃@25℃, độ ẩm ±2%
3.信号输出：4-20mA
3. Tín hiệu đầu ra: 4-20mA
4.防护等级：IP65
4. Cấp bảo vệ: IP65
5.安装方式：壁挂式
5. Phương thức lắp đặt: Treo tường</t>
        </is>
      </c>
      <c r="D12" s="11" t="inlineStr">
        <is>
          <t>个
Cái</t>
        </is>
      </c>
      <c r="E12" s="36" t="n">
        <v>1</v>
      </c>
      <c r="F12" s="15" t="n"/>
      <c r="G12" s="15" t="n"/>
      <c r="H12" s="15">
        <f>F12+G12</f>
        <v/>
      </c>
      <c r="I12" s="13">
        <f>E12*H12</f>
        <v/>
      </c>
      <c r="J12" s="35" t="n"/>
    </row>
    <row r="13" ht="143" customHeight="1">
      <c r="A13" s="11" t="n">
        <v>8</v>
      </c>
      <c r="B13" s="12" t="inlineStr">
        <is>
          <t>高精度压力传感器
Cảm biến áp suất độ chính xác cao</t>
        </is>
      </c>
      <c r="C13" s="35" t="inlineStr">
        <is>
          <t>1.供电电源：24VDC
1. Nguồn cấp điện: 24VDC
2.精度：±0.2%
2. Độ chính xác: ±0.2%
3.信号输出：4-20mA
3. Tín hiệu đầu ra: 4-20mA
4.防护等级：IP65
4. Cấp bảo vệ: IP65
5.安装方式：插入式
5. Phương thức lắp đặt: Kiểu cắm (nhúng)
6.附件：配底座
6. Phụ kiện: Kèm đế</t>
        </is>
      </c>
      <c r="D13" s="11" t="inlineStr">
        <is>
          <t>个
Cái</t>
        </is>
      </c>
      <c r="E13" s="36" t="n">
        <v>6</v>
      </c>
      <c r="F13" s="15" t="n"/>
      <c r="G13" s="15" t="n"/>
      <c r="H13" s="15">
        <f>F13+G13</f>
        <v/>
      </c>
      <c r="I13" s="13">
        <f>E13*H13</f>
        <v/>
      </c>
      <c r="J13" s="35" t="n"/>
    </row>
    <row r="14" ht="143" customHeight="1">
      <c r="A14" s="11" t="n">
        <v>9</v>
      </c>
      <c r="B14" s="12" t="inlineStr">
        <is>
          <t>高精度温度传感器
Cảm biến nhiệt độ độ chính xác cao</t>
        </is>
      </c>
      <c r="C14" s="35" t="inlineStr">
        <is>
          <t>1.供电电源：24VDC
1. Nguồn cấp điện: 24VDC
2.精度：±0.05℃
2. Độ chính xác: ±0.05℃
3.信号输出：4-20mA
3. Tín hiệu đầu ra: 4-20mA
4.防护等级：IP65
4. Cấp bảo vệ: IP65
5.安装方式：插入式
5. Phương thức lắp đặt: Kiểu cắm (nhúng)
6.附件：配底座
6. Phụ kiện: Kèm đế</t>
        </is>
      </c>
      <c r="D14" s="11" t="inlineStr">
        <is>
          <t>个
Cái</t>
        </is>
      </c>
      <c r="E14" s="36" t="n">
        <v>16</v>
      </c>
      <c r="F14" s="15" t="n"/>
      <c r="G14" s="15" t="n"/>
      <c r="H14" s="15">
        <f>F14+G14</f>
        <v/>
      </c>
      <c r="I14" s="13">
        <f>E14*H14</f>
        <v/>
      </c>
      <c r="J14" s="35" t="n"/>
    </row>
    <row r="15" ht="97" customHeight="1">
      <c r="A15" s="11" t="n">
        <v>10</v>
      </c>
      <c r="B15" s="12" t="inlineStr">
        <is>
          <t>液位传感器
Cảm biến mức chất lỏng</t>
        </is>
      </c>
      <c r="C15" s="35" t="inlineStr">
        <is>
          <t>1.供电电源：24VDC
1. Nguồn cấp điện: 24VDC
2.精度：±0.2%FS
2. Độ chính xác: ±0.2%FS
3.信号输出：4-20mA
3. Tín hiệu đầu ra: 4-20mA
4.防护等级：IP68
4. Cấp bảo vệ: IP68</t>
        </is>
      </c>
      <c r="D15" s="11" t="inlineStr">
        <is>
          <t>个
Cái</t>
        </is>
      </c>
      <c r="E15" s="36" t="n">
        <v>7</v>
      </c>
      <c r="F15" s="15" t="n"/>
      <c r="G15" s="15" t="n"/>
      <c r="H15" s="15">
        <f>F15+G15</f>
        <v/>
      </c>
      <c r="I15" s="13">
        <f>E15*H15</f>
        <v/>
      </c>
      <c r="J15" s="35" t="n"/>
    </row>
    <row r="16" ht="143" customHeight="1">
      <c r="A16" s="11" t="n">
        <v>11</v>
      </c>
      <c r="B16" s="12" t="inlineStr">
        <is>
          <t>管道式高精度电磁式流量计
Đồng hồ đo lưu lượng điện từ độ chính xác cao kiểu lắp trên đường ống</t>
        </is>
      </c>
      <c r="C16" s="35" t="inlineStr">
        <is>
          <t>1.规格：DN300，橡胶衬里，316L电极，常温常压，常规流量范围，法兰连接
1. Quy cách: DN300, lót cao su, điện cực 316L, nhiệt độ và áp suất thường, dải lưu lượng thông thường, nối mặt bích
2.供电电源：24VDC
2. Nguồn cấp điện: 24VDC
3.信号输出：4-20mA，RS485通讯
3. Tín hiệu đầu ra: 4-20mA, truyền thông RS485
4.精度：0.5%
4. Độ chính xác: 0.5%
5.配冷热量积算功能，精度：0.1℃L=6*200mm（不含螺纹M20*1.5），温度 0-100 度，带螺纹底座
5. Kèm chức năng tích lũy năng lượng lạnh/nhiệt, độ chính xác: 0.1℃L=6*200mm (không gồm ren M20*1.5), nhiệt độ 0-100 độ, có đế ren</t>
        </is>
      </c>
      <c r="D16" s="11" t="inlineStr">
        <is>
          <t>台
Máy</t>
        </is>
      </c>
      <c r="E16" s="36" t="n">
        <v>3</v>
      </c>
      <c r="F16" s="15" t="n"/>
      <c r="G16" s="15" t="n"/>
      <c r="H16" s="15">
        <f>F16+G16</f>
        <v/>
      </c>
      <c r="I16" s="13">
        <f>E16*H16</f>
        <v/>
      </c>
      <c r="J16" s="35" t="n"/>
    </row>
    <row r="17" ht="143" customHeight="1">
      <c r="A17" s="11" t="n">
        <v>12</v>
      </c>
      <c r="B17" s="12" t="inlineStr">
        <is>
          <t>管道式高精度电磁式流量计
Đồng hồ đo lưu lượng điện từ độ chính xác cao kiểu lắp trên đường ống</t>
        </is>
      </c>
      <c r="C17" s="35" t="inlineStr">
        <is>
          <t>1.规格：DN600，橡胶衬里，316L电极，常温常压，常规流量范围，法兰连接
1. Quy cách: DN600, lót cao su, điện cực 316L, nhiệt độ và áp suất thường, dải lưu lượng thông thường, nối mặt bích
2.供电电源：24VDC
2. Nguồn cấp điện: 24VDC
3.信号输出：4-20mA，RS485通讯
3. Tín hiệu đầu ra: 4-20mA, truyền thông RS485
4.精度：0.5%
4. Độ chính xác: 0.5%
5.配冷热量积算功能，精度：0.1℃L=6*200mm（不含螺纹M20*1.5），温度 0-100 度，带螺纹底座
5. Kèm chức năng tích lũy năng lượng lạnh/nhiệt, độ chính xác: 0.1℃L=6*200mm (không gồm ren M20*1.5), nhiệt độ 0-100 độ, có đế ren</t>
        </is>
      </c>
      <c r="D17" s="11" t="inlineStr">
        <is>
          <t>台
Máy</t>
        </is>
      </c>
      <c r="E17" s="36" t="n">
        <v>1</v>
      </c>
      <c r="F17" s="15" t="n"/>
      <c r="G17" s="15" t="n"/>
      <c r="H17" s="15">
        <f>F17+G17</f>
        <v/>
      </c>
      <c r="I17" s="13">
        <f>E17*H17</f>
        <v/>
      </c>
      <c r="J17" s="35" t="n"/>
    </row>
    <row r="18" ht="51" customHeight="1">
      <c r="A18" s="11" t="n">
        <v>13</v>
      </c>
      <c r="B18" s="12" t="inlineStr">
        <is>
          <t>风机盘管液晶温控面板
Bảng điều khiển nhiệt độ màn hình LCD cho dàn quạt lạnh (FCU)</t>
        </is>
      </c>
      <c r="C18" s="35" t="inlineStr">
        <is>
          <t>1.名称：液晶温控面板
1. Tên: Bảng điều khiển nhiệt độ màn hình LCD
2.规格：开关型
2. Quy cách: Loại đóng/ngắt (on/off)</t>
        </is>
      </c>
      <c r="D18" s="11" t="inlineStr">
        <is>
          <t>个
Cái</t>
        </is>
      </c>
      <c r="E18" s="36" t="n">
        <v>3</v>
      </c>
      <c r="F18" s="15" t="n"/>
      <c r="G18" s="15" t="n"/>
      <c r="H18" s="15">
        <f>F18+G18</f>
        <v/>
      </c>
      <c r="I18" s="13">
        <f>E18*H18</f>
        <v/>
      </c>
      <c r="J18" s="35" t="inlineStr">
        <is>
          <t>江森、霍尼韦尔、西门子
Johnson Controls (江森), Honeywell (霍尼韦尔), Siemens (西门子)</t>
        </is>
      </c>
    </row>
    <row r="19" ht="74" customHeight="1">
      <c r="A19" s="11" t="n">
        <v>14</v>
      </c>
      <c r="B19" s="12" t="inlineStr">
        <is>
          <t>控制线缆
Cáp điều khiển</t>
        </is>
      </c>
      <c r="C19" s="35" t="inlineStr">
        <is>
          <t>1.名称:控制线缆
1. Tên: Cáp điều khiển
2.规格:RVV-7*0.75
2. Quy cách: RVV-7*0.75
3.材质:铜芯
3. Vật liệu: Lõi đồng</t>
        </is>
      </c>
      <c r="D19" s="11" t="inlineStr">
        <is>
          <t>m</t>
        </is>
      </c>
      <c r="E19" s="36" t="n">
        <v>43</v>
      </c>
      <c r="F19" s="15" t="n"/>
      <c r="G19" s="15" t="n"/>
      <c r="H19" s="15">
        <f>F19+G19</f>
        <v/>
      </c>
      <c r="I19" s="13">
        <f>E19*H19</f>
        <v/>
      </c>
      <c r="J19" s="35" t="inlineStr">
        <is>
          <t>深圳成天泰，南洋，LS,Taya
Shenzhen Chengtiantai (深圳成天泰), Nanyang (南洋), LS, Taya</t>
        </is>
      </c>
    </row>
    <row r="20" ht="74" customHeight="1">
      <c r="A20" s="11" t="n">
        <v>15</v>
      </c>
      <c r="B20" s="12" t="inlineStr">
        <is>
          <t>控制线缆
Cáp điều khiển</t>
        </is>
      </c>
      <c r="C20" s="35" t="inlineStr">
        <is>
          <t>1.名称:控制线缆
1. Tên: Cáp điều khiển
2.规格:RVV-6*1.0
2. Quy cách: RVV-6*1.0
3.材质:铜芯
3. Vật liệu: Lõi đồng</t>
        </is>
      </c>
      <c r="D20" s="11" t="inlineStr">
        <is>
          <t>m</t>
        </is>
      </c>
      <c r="E20" s="36" t="n">
        <v>1155</v>
      </c>
      <c r="F20" s="15" t="n"/>
      <c r="G20" s="15" t="n"/>
      <c r="H20" s="15">
        <f>F20+G20</f>
        <v/>
      </c>
      <c r="I20" s="13">
        <f>E20*H20</f>
        <v/>
      </c>
      <c r="J20" s="35" t="inlineStr">
        <is>
          <t>深圳成天泰，南洋，LS,Taya
Shenzhen Chengtiantai (深圳成天泰), Nanyang (南洋), LS, Taya</t>
        </is>
      </c>
    </row>
    <row r="21" ht="74" customHeight="1">
      <c r="A21" s="11" t="n">
        <v>16</v>
      </c>
      <c r="B21" s="12" t="inlineStr">
        <is>
          <t>控制线缆
Cáp điều khiển</t>
        </is>
      </c>
      <c r="C21" s="35" t="inlineStr">
        <is>
          <t>1.名称:控制线缆
1. Tên: Cáp điều khiển
2.规格:RVV-2*1.0
2. Quy cách: RVV-2*1.0
3.材质:铜芯
3. Vật liệu: Lõi đồng</t>
        </is>
      </c>
      <c r="D21" s="11" t="inlineStr">
        <is>
          <t>m</t>
        </is>
      </c>
      <c r="E21" s="36" t="n">
        <v>205</v>
      </c>
      <c r="F21" s="15" t="n"/>
      <c r="G21" s="15" t="n"/>
      <c r="H21" s="15">
        <f>F21+G21</f>
        <v/>
      </c>
      <c r="I21" s="13">
        <f>E21*H21</f>
        <v/>
      </c>
      <c r="J21" s="35" t="inlineStr">
        <is>
          <t>深圳成天泰，南洋，LS,Taya
Shenzhen Chengtiantai (深圳成天泰), Nanyang (南洋), LS, Taya</t>
        </is>
      </c>
    </row>
    <row r="22" ht="74" customHeight="1">
      <c r="A22" s="11" t="n">
        <v>17</v>
      </c>
      <c r="B22" s="12" t="inlineStr">
        <is>
          <t>控制线缆
Cáp điều khiển</t>
        </is>
      </c>
      <c r="C22" s="35" t="inlineStr">
        <is>
          <t>1.名称:控制线缆
1. Tên: Cáp điều khiển
2.规格:RVVP-6*1.0
2. Quy cách: RVVP-6*1.0
3.材质:铜芯
3. Vật liệu: Lõi đồng</t>
        </is>
      </c>
      <c r="D22" s="11" t="inlineStr">
        <is>
          <t>m</t>
        </is>
      </c>
      <c r="E22" s="36" t="n">
        <v>80</v>
      </c>
      <c r="F22" s="15" t="n"/>
      <c r="G22" s="15" t="n"/>
      <c r="H22" s="15">
        <f>F22+G22</f>
        <v/>
      </c>
      <c r="I22" s="13">
        <f>E22*H22</f>
        <v/>
      </c>
      <c r="J22" s="35" t="inlineStr">
        <is>
          <t>深圳成天泰，南洋，LS,Taya
Shenzhen Chengtiantai (深圳成天泰), Nanyang (南洋), LS, Taya</t>
        </is>
      </c>
    </row>
    <row r="23" ht="74" customHeight="1">
      <c r="A23" s="11" t="n">
        <v>18</v>
      </c>
      <c r="B23" s="12" t="inlineStr">
        <is>
          <t>控制线缆
Cáp điều khiển</t>
        </is>
      </c>
      <c r="C23" s="35" t="inlineStr">
        <is>
          <t>1.名称:控制线缆
1. Tên: Cáp điều khiển
2.规格:RVVP-4*1.0
2. Quy cách: RVVP-4*1.0
3.材质:铜芯
3. Vật liệu: Lõi đồng</t>
        </is>
      </c>
      <c r="D23" s="11" t="inlineStr">
        <is>
          <t>m</t>
        </is>
      </c>
      <c r="E23" s="36" t="n">
        <v>286</v>
      </c>
      <c r="F23" s="15" t="n"/>
      <c r="G23" s="15" t="n"/>
      <c r="H23" s="15">
        <f>F23+G23</f>
        <v/>
      </c>
      <c r="I23" s="13">
        <f>E23*H23</f>
        <v/>
      </c>
      <c r="J23" s="35" t="inlineStr">
        <is>
          <t>深圳成天泰，南洋，LS,Taya
Shenzhen Chengtiantai (深圳成天泰), Nanyang (南洋), LS, Taya</t>
        </is>
      </c>
    </row>
    <row r="24" ht="74" customHeight="1">
      <c r="A24" s="11" t="n">
        <v>19</v>
      </c>
      <c r="B24" s="12" t="inlineStr">
        <is>
          <t>控制线缆
Cáp điều khiển</t>
        </is>
      </c>
      <c r="C24" s="35" t="inlineStr">
        <is>
          <t>1.名称:控制线缆
1. Tên: Cáp điều khiển
2.规格:RVVP-2*1.0
2. Quy cách: RVVP-2*1.0
3.材质:铜芯
3. Vật liệu: Lõi đồng</t>
        </is>
      </c>
      <c r="D24" s="11" t="inlineStr">
        <is>
          <t>m</t>
        </is>
      </c>
      <c r="E24" s="36" t="n">
        <v>1291</v>
      </c>
      <c r="F24" s="15" t="n"/>
      <c r="G24" s="15" t="n"/>
      <c r="H24" s="15">
        <f>F24+G24</f>
        <v/>
      </c>
      <c r="I24" s="13">
        <f>E24*H24</f>
        <v/>
      </c>
      <c r="J24" s="35" t="inlineStr">
        <is>
          <t>深圳成天泰，南洋，LS,Taya
Shenzhen Chengtiantai (深圳成天泰), Nanyang (南洋), LS, Taya</t>
        </is>
      </c>
    </row>
    <row r="25" ht="74" customHeight="1">
      <c r="A25" s="11" t="n">
        <v>20</v>
      </c>
      <c r="B25" s="12" t="inlineStr">
        <is>
          <t>通讯线缆
Cáp truyền thông</t>
        </is>
      </c>
      <c r="C25" s="35" t="inlineStr">
        <is>
          <t>1.名称:通讯线缆
1. Tên: Cáp truyền thông
2.规格:RVSP-2*1.0
2. Quy cách: RVSP-2*1.0
3.材质:铜芯
3. Vật liệu: Lõi đồng</t>
        </is>
      </c>
      <c r="D25" s="11" t="inlineStr">
        <is>
          <t>m</t>
        </is>
      </c>
      <c r="E25" s="36" t="n">
        <v>475</v>
      </c>
      <c r="F25" s="15" t="n"/>
      <c r="G25" s="15" t="n"/>
      <c r="H25" s="15">
        <f>F25+G25</f>
        <v/>
      </c>
      <c r="I25" s="13">
        <f>E25*H25</f>
        <v/>
      </c>
      <c r="J25" s="35" t="inlineStr">
        <is>
          <t>深圳成天泰，南洋，LS,Taya
Shenzhen Chengtiantai (深圳成天泰), Nanyang (南洋), LS, Taya</t>
        </is>
      </c>
    </row>
    <row r="26" ht="51" customHeight="1">
      <c r="A26" s="11" t="n">
        <v>21</v>
      </c>
      <c r="B26" s="12" t="inlineStr">
        <is>
          <t>光纤
Cáp quang</t>
        </is>
      </c>
      <c r="C26" s="35" t="inlineStr">
        <is>
          <t>1.名称:光纤
1. Tên: Cáp quang
2.规格:单模二芯铠装光纤
2. Quy cách: Cáp quang đơn mode (single-mode) 2 lõi có giáp bảo vệ</t>
        </is>
      </c>
      <c r="D26" s="11" t="inlineStr">
        <is>
          <t>m</t>
        </is>
      </c>
      <c r="E26" s="36" t="n">
        <v>150</v>
      </c>
      <c r="F26" s="15" t="n"/>
      <c r="G26" s="15" t="n"/>
      <c r="H26" s="15">
        <f>F26+G26</f>
        <v/>
      </c>
      <c r="I26" s="13">
        <f>E26*H26</f>
        <v/>
      </c>
      <c r="J26" s="35" t="inlineStr">
        <is>
          <t>国产优质
Hàng sản xuất trong nước chất lượng cao</t>
        </is>
      </c>
    </row>
    <row r="27" ht="97" customHeight="1">
      <c r="A27" s="11" t="n">
        <v>22</v>
      </c>
      <c r="B27" s="12" t="inlineStr">
        <is>
          <t>镀锌线槽
Máng cáp mạ kẽm</t>
        </is>
      </c>
      <c r="C27" s="35" t="inlineStr">
        <is>
          <t>1.名称:镀锌线槽
1. Tên: Máng cáp mạ kẽm
2.规格：200*100*1.0mm
2. Quy cách: 200*100*1.0mm
3.材质：镀锌钢板
3. Vật liệu: Thép tấm mạ kẽm
4.含配件
4. Gồm phụ kiện</t>
        </is>
      </c>
      <c r="D27" s="11" t="inlineStr">
        <is>
          <t>m</t>
        </is>
      </c>
      <c r="E27" s="36" t="n">
        <v>20</v>
      </c>
      <c r="F27" s="15" t="n"/>
      <c r="G27" s="15" t="n"/>
      <c r="H27" s="15">
        <f>F27+G27</f>
        <v/>
      </c>
      <c r="I27" s="13">
        <f>E27*H27</f>
        <v/>
      </c>
      <c r="J27" s="35" t="inlineStr">
        <is>
          <t>国产优质
Hàng sản xuất trong nước chất lượng cao</t>
        </is>
      </c>
    </row>
    <row r="28" ht="97" customHeight="1">
      <c r="A28" s="11" t="n">
        <v>23</v>
      </c>
      <c r="B28" s="12" t="inlineStr">
        <is>
          <t>镀锌线槽
Máng cáp mạ kẽm</t>
        </is>
      </c>
      <c r="C28" s="35" t="inlineStr">
        <is>
          <t>1.名称:镀锌线槽
1. Tên: Máng cáp mạ kẽm
2.规格：100*100*1.0mm
2. Quy cách: 100*100*1.0mm
3.材质：镀锌钢板
3. Vật liệu: Thép tấm mạ kẽm
4.含配件
4. Gồm phụ kiện</t>
        </is>
      </c>
      <c r="D28" s="11" t="inlineStr">
        <is>
          <t>m</t>
        </is>
      </c>
      <c r="E28" s="36" t="n">
        <v>76</v>
      </c>
      <c r="F28" s="15" t="n"/>
      <c r="G28" s="15" t="n"/>
      <c r="H28" s="15">
        <f>F28+G28</f>
        <v/>
      </c>
      <c r="I28" s="13">
        <f>E28*H28</f>
        <v/>
      </c>
      <c r="J28" s="35" t="inlineStr">
        <is>
          <t>国产优质
Hàng sản xuất trong nước chất lượng cao</t>
        </is>
      </c>
    </row>
    <row r="29" ht="97" customHeight="1">
      <c r="A29" s="11" t="n">
        <v>24</v>
      </c>
      <c r="B29" s="12" t="inlineStr">
        <is>
          <t>PVC线管
Ống luồn dây điện PVC</t>
        </is>
      </c>
      <c r="C29" s="35" t="inlineStr">
        <is>
          <t>1.名称:PVC线管
1. Tên: Ống luồn dây điện PVC
2.规格：Φ20
2. Quy cách: Φ20
3.材质：U-PVC硬管
3. Vật liệu: Ống cứng U-PVC
4.含配件
4. Gồm phụ kiện</t>
        </is>
      </c>
      <c r="D29" s="11" t="inlineStr">
        <is>
          <t>m</t>
        </is>
      </c>
      <c r="E29" s="36" t="n">
        <v>282</v>
      </c>
      <c r="F29" s="15" t="n"/>
      <c r="G29" s="15" t="n"/>
      <c r="H29" s="15">
        <f>F29+G29</f>
        <v/>
      </c>
      <c r="I29" s="13">
        <f>E29*H29</f>
        <v/>
      </c>
      <c r="J29" s="35" t="inlineStr">
        <is>
          <t>联塑、日丰
Lesso (联塑), Rifeng (日丰)</t>
        </is>
      </c>
    </row>
    <row r="30" ht="51" customHeight="1">
      <c r="A30" s="11" t="n">
        <v>25</v>
      </c>
      <c r="B30" s="12" t="inlineStr">
        <is>
          <t>线槽支吊架
Giá treo đỡ máng cáp</t>
        </is>
      </c>
      <c r="C30" s="35" t="inlineStr">
        <is>
          <t>1.形式:吊托支架
1. Hình thức: Giá treo đỡ
2.材质:角钢、丝杆
2. Vật liệu: Thép góc, ty ren</t>
        </is>
      </c>
      <c r="D30" s="11" t="inlineStr">
        <is>
          <t>kg</t>
        </is>
      </c>
      <c r="E30" s="40" t="n">
        <v>552.6</v>
      </c>
      <c r="F30" s="15" t="n"/>
      <c r="G30" s="15" t="n"/>
      <c r="H30" s="15">
        <f>F30+G30</f>
        <v/>
      </c>
      <c r="I30" s="13">
        <f>E30*H30</f>
        <v/>
      </c>
      <c r="J30" s="35" t="inlineStr">
        <is>
          <t>国标
Tiêu chuẩn quốc gia (GB)</t>
        </is>
      </c>
    </row>
    <row r="31" ht="28" customHeight="1">
      <c r="A31" s="11" t="n">
        <v>26</v>
      </c>
      <c r="B31" s="12" t="inlineStr">
        <is>
          <t>安装辅材
Vật tư phụ lắp đặt</t>
        </is>
      </c>
      <c r="C31" s="35" t="inlineStr">
        <is>
          <t>线耳、扎带、电工胶布等
Đầu cos, dây rút, băng keo điện, v.v.</t>
        </is>
      </c>
      <c r="D31" s="11" t="inlineStr">
        <is>
          <t>项
Hạng mục</t>
        </is>
      </c>
      <c r="E31" s="36" t="n">
        <v>1</v>
      </c>
      <c r="F31" s="15" t="n"/>
      <c r="G31" s="15" t="n"/>
      <c r="H31" s="15">
        <f>F31+G31</f>
        <v/>
      </c>
      <c r="I31" s="13">
        <f>E31*H31</f>
        <v/>
      </c>
      <c r="J31" s="35" t="inlineStr">
        <is>
          <t>国标
Tiêu chuẩn quốc gia (GB)</t>
        </is>
      </c>
    </row>
    <row r="32" ht="32" customHeight="1">
      <c r="A32" s="41" t="inlineStr">
        <is>
          <t>合计：
Tổng cộng:</t>
        </is>
      </c>
      <c r="B32" s="42" t="n"/>
      <c r="C32" s="42" t="n"/>
      <c r="D32" s="42" t="n"/>
      <c r="E32" s="42" t="n"/>
      <c r="F32" s="42" t="n"/>
      <c r="G32" s="42" t="n"/>
      <c r="H32" s="42" t="n"/>
      <c r="I32" s="43">
        <f>SUM(I6:I31)</f>
        <v/>
      </c>
      <c r="J32" s="42" t="n"/>
    </row>
  </sheetData>
  <mergeCells count="14">
    <mergeCell ref="H1:J1"/>
    <mergeCell ref="F4:G4"/>
    <mergeCell ref="A1:G1"/>
    <mergeCell ref="B4:B5"/>
    <mergeCell ref="C4:C5"/>
    <mergeCell ref="A4:A5"/>
    <mergeCell ref="D4:D5"/>
    <mergeCell ref="E4:E5"/>
    <mergeCell ref="A3:J3"/>
    <mergeCell ref="H4:H5"/>
    <mergeCell ref="I4:I5"/>
    <mergeCell ref="J4:J5"/>
    <mergeCell ref="A2:J2"/>
    <mergeCell ref="A32:H32"/>
  </mergeCells>
  <conditionalFormatting sqref="F6:G32">
    <cfRule type="expression" priority="1" dxfId="0">
      <formula>AND($E6&lt;&gt;"",ISNUMBER($A6),F6="")</formula>
    </cfRule>
  </conditionalFormatting>
  <printOptions horizontalCentered="1"/>
  <pageMargins left="0.4" right="0.4" top="0.5" bottom="0.6" header="0.5" footer="0.5"/>
  <pageSetup orientation="landscape" paperSize="9" fitToHeight="0" fitToWidth="1"/>
  <headerFooter>
    <oddHeader/>
    <oddFooter>&amp;L&amp;8 BLT – Báo giá 报价单 MEGA&amp;R&amp;8 Trang 页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168"/>
  <sheetViews>
    <sheetView showGridLines="0" workbookViewId="0">
      <pane ySplit="5" topLeftCell="A6" activePane="bottomLeft" state="frozen"/>
      <selection pane="bottomLeft" activeCell="A1" sqref="A1"/>
    </sheetView>
  </sheetViews>
  <sheetFormatPr baseColWidth="8" defaultRowHeight="15"/>
  <cols>
    <col width="6" customWidth="1" min="1" max="1"/>
    <col width="28" customWidth="1" min="2" max="2"/>
    <col width="64" customWidth="1" min="3" max="3"/>
    <col width="9" customWidth="1" min="4" max="4"/>
    <col width="11" customWidth="1" min="5" max="5"/>
    <col width="15" customWidth="1" min="6" max="6"/>
    <col width="15" customWidth="1" min="7" max="7"/>
    <col width="16" customWidth="1" min="8" max="8"/>
    <col width="19" customWidth="1" min="9" max="9"/>
    <col width="26" customWidth="1" min="10" max="10"/>
  </cols>
  <sheetData>
    <row r="1" ht="22" customHeight="1">
      <c r="A1" s="27" t="inlineStr">
        <is>
          <t>[CÔNG TY TNHH / CỔ PHẦN …] BLT</t>
        </is>
      </c>
      <c r="B1" s="28" t="n"/>
      <c r="C1" s="28" t="n"/>
      <c r="D1" s="28" t="n"/>
      <c r="E1" s="28" t="n"/>
      <c r="F1" s="28" t="n"/>
      <c r="G1" s="28" t="n"/>
      <c r="H1" s="29" t="inlineStr">
        <is>
          <t>BÁO GIÁ 报价单 – Số 编号: BG-BLT-2026/[..]</t>
        </is>
      </c>
      <c r="I1" s="28" t="n"/>
      <c r="J1" s="28" t="n"/>
    </row>
    <row r="2" ht="34" customHeight="1">
      <c r="A2" s="30" t="inlineStr">
        <is>
          <t>分部分项工程量清单与计价表
Bảng khối lượng và đơn giá các hạng mục công trình</t>
        </is>
      </c>
    </row>
    <row r="3" ht="34" customHeight="1">
      <c r="A3" s="31" t="inlineStr">
        <is>
          <t>工程名称：BP2空调末端系统工程
Tên công trình: Công trình hệ thống thiết bị đầu cuối điều hòa BP2</t>
        </is>
      </c>
    </row>
    <row r="4" ht="30" customHeight="1">
      <c r="A4" s="32" t="inlineStr">
        <is>
          <t>序号
STT</t>
        </is>
      </c>
      <c r="B4" s="32" t="inlineStr">
        <is>
          <t>项目名称
Tên hạng mục</t>
        </is>
      </c>
      <c r="C4" s="32" t="inlineStr">
        <is>
          <t>项目特征描述
Mô tả đặc tính hạng mục</t>
        </is>
      </c>
      <c r="D4" s="32" t="inlineStr">
        <is>
          <t>计量单位
ĐVT</t>
        </is>
      </c>
      <c r="E4" s="32" t="inlineStr">
        <is>
          <t>工程量
Khối lượng</t>
        </is>
      </c>
      <c r="F4" s="32" t="inlineStr">
        <is>
          <t>综合单价组成 / Cấu thành đơn giá tổng hợp (VNĐ)</t>
        </is>
      </c>
      <c r="G4" s="32" t="n"/>
      <c r="H4" s="32" t="inlineStr">
        <is>
          <t>综合单价
Đơn giá tổng hợp
(VNĐ)</t>
        </is>
      </c>
      <c r="I4" s="32" t="inlineStr">
        <is>
          <t>合价
Thành tiền
(VNĐ)</t>
        </is>
      </c>
      <c r="J4" s="32" t="inlineStr">
        <is>
          <t>备注/品牌
Ghi chú / Thương hiệu</t>
        </is>
      </c>
    </row>
    <row r="5" ht="30" customHeight="1">
      <c r="A5" s="32" t="n"/>
      <c r="B5" s="32" t="n"/>
      <c r="C5" s="32" t="n"/>
      <c r="D5" s="32" t="n"/>
      <c r="E5" s="32" t="n"/>
      <c r="F5" s="32" t="inlineStr">
        <is>
          <t>材料单价
Đơn giá vật tư</t>
        </is>
      </c>
      <c r="G5" s="32" t="inlineStr">
        <is>
          <t>人工单价
Đơn giá nhân công</t>
        </is>
      </c>
      <c r="H5" s="32" t="n"/>
      <c r="I5" s="32" t="n"/>
      <c r="J5" s="32" t="n"/>
    </row>
    <row r="6" ht="28" customHeight="1">
      <c r="A6" s="33" t="inlineStr">
        <is>
          <t>一、
I.</t>
        </is>
      </c>
      <c r="B6" s="34" t="inlineStr">
        <is>
          <t>空调设备安装 / Lắp đặt thiết bị điều hòa</t>
        </is>
      </c>
      <c r="C6" s="34" t="n"/>
      <c r="D6" s="34" t="n"/>
      <c r="E6" s="34" t="n"/>
      <c r="F6" s="34" t="n"/>
      <c r="G6" s="34" t="n"/>
      <c r="H6" s="34" t="n"/>
      <c r="I6" s="34" t="n"/>
      <c r="J6" s="34" t="n"/>
    </row>
    <row r="7" ht="212" customHeight="1">
      <c r="A7" s="11" t="n">
        <v>1</v>
      </c>
      <c r="B7" s="12" t="inlineStr">
        <is>
          <t>吊顶式恒温恒湿空气处理机组
Cụm xử lý không khí (AHU) ổn định nhiệt độ - độ ẩm kiểu treo trần
AHU-300</t>
        </is>
      </c>
      <c r="C7" s="35" t="inlineStr">
        <is>
          <t>1.名称:吊顶式恒温恒湿空气处理机组
1. Tên: Cụm xử lý không khí (AHU) ổn định nhiệt độ - độ ẩm kiểu treo trần
2.编号:AHU-300
2. Mã hiệu: AHU-300
送风量30000m3/h，新风量3000m3/h，回风量27000m3/h，制冷量188kW，蒸汽加热量90kW，蒸汽加湿量45kg/h，机外静压500Pa，电机功率15kW，变频电机，输入电压380V/50Hz，重量约1342kg
Lưu lượng gió cấp 30000m3/h, lưu lượng gió tươi 3000m3/h, lưu lượng gió hồi 27000m3/h, công suất lạnh 188kW, công suất gia nhiệt bằng hơi nước 90kW, lượng tạo ẩm bằng hơi nước 45kg/h, áp suất tĩnh ngoài 500Pa, công suất động cơ 15kW, động cơ biến tần, điện áp đầu vào 380V/50Hz, trọng lượng khoảng 1342kg
3.功能段:新回风混合段+G4初效段+F7中效段+表冷段+加热段+加湿段+风机送风段
3. Các khoang chức năng: Khoang hòa trộn gió tươi - gió hồi + khoang lọc thô G4 + khoang lọc trung F7 + khoang coil làm lạnh + khoang gia nhiệt + khoang tạo ẩm + khoang quạt cấp gió
4.安装形式:吊顶式
4. Hình thức lắp đặt: Treo trần
5.其他:符合设计图纸以及施工规范要求
5. Khác: Phù hợp yêu cầu của bản vẽ thiết kế và quy phạm thi công</t>
        </is>
      </c>
      <c r="D7" s="11" t="inlineStr">
        <is>
          <t>台
Máy</t>
        </is>
      </c>
      <c r="E7" s="36" t="n">
        <v>24</v>
      </c>
      <c r="F7" s="15" t="n"/>
      <c r="G7" s="15" t="n"/>
      <c r="H7" s="15">
        <f>F7+G7</f>
        <v/>
      </c>
      <c r="I7" s="13">
        <f>E7*H7</f>
        <v/>
      </c>
      <c r="J7" s="35" t="inlineStr">
        <is>
          <t>麦克维尔、申菱
McQuay (麦克维尔), Shenling (申菱)</t>
        </is>
      </c>
    </row>
    <row r="8" ht="189" customHeight="1">
      <c r="A8" s="11" t="n">
        <v>2</v>
      </c>
      <c r="B8" s="12" t="inlineStr">
        <is>
          <t>吊顶式恒温恒湿空气处理机组
Cụm xử lý không khí (AHU) ổn định nhiệt độ - độ ẩm kiểu treo trần
AHU-150</t>
        </is>
      </c>
      <c r="C8" s="35" t="inlineStr">
        <is>
          <t>1.名称:吊顶式恒温恒湿空气处理机组
1. Tên: Cụm xử lý không khí (AHU) ổn định nhiệt độ - độ ẩm kiểu treo trần
2.编号:AHU-150
2. Mã hiệu: AHU-150
回风工况，风量15000m3/h，制冷量115kW，蒸汽加热量60kW，蒸汽加湿量22kg/h，机外静压240Pa，电机功率5.5kW，输入电压380V/50Hz，重量约627kg
Chế độ gió hồi, lưu lượng gió 15000m3/h, công suất lạnh 115kW, công suất gia nhiệt bằng hơi nước 60kW, lượng tạo ẩm bằng hơi nước 22kg/h, áp suất tĩnh ngoài 240Pa, công suất động cơ 5.5kW, điện áp đầu vào 380V/50Hz, trọng lượng khoảng 627kg
3.功能段:G4初效段+表冷段+加热段+加湿段+风机送风段
3. Các khoang chức năng: Khoang lọc thô G4 + khoang coil làm lạnh + khoang gia nhiệt + khoang tạo ẩm + khoang quạt cấp gió
4.安装形式:吊顶式
4. Hình thức lắp đặt: Treo trần
5.其他:符合设计图纸以及施工规范要求
5. Khác: Phù hợp yêu cầu của bản vẽ thiết kế và quy phạm thi công</t>
        </is>
      </c>
      <c r="D8" s="11" t="inlineStr">
        <is>
          <t>台
Máy</t>
        </is>
      </c>
      <c r="E8" s="36" t="n">
        <v>20</v>
      </c>
      <c r="F8" s="15" t="n"/>
      <c r="G8" s="15" t="n"/>
      <c r="H8" s="15">
        <f>F8+G8</f>
        <v/>
      </c>
      <c r="I8" s="13">
        <f>E8*H8</f>
        <v/>
      </c>
      <c r="J8" s="35" t="inlineStr">
        <is>
          <t>麦克维尔、申菱
McQuay (麦克维尔), Shenling (申菱)</t>
        </is>
      </c>
    </row>
    <row r="9" ht="189" customHeight="1">
      <c r="A9" s="11" t="n">
        <v>3</v>
      </c>
      <c r="B9" s="12" t="inlineStr">
        <is>
          <t>吊顶式恒温恒湿空气处理机组
Cụm xử lý không khí (AHU) ổn định nhiệt độ - độ ẩm kiểu treo trần
MAU-150</t>
        </is>
      </c>
      <c r="C9" s="35" t="inlineStr">
        <is>
          <t>1.名称:吊顶式恒温恒湿空气处理机组
1. Tên: Cụm xử lý không khí (AHU) ổn định nhiệt độ - độ ẩm kiểu treo trần
2.编号:MAU-150
2. Mã hiệu: MAU-150
新风工况，风量15000m3/h，制冷量248.5kW，蒸汽加热量154kW，蒸汽加湿量22kg/h，机外静压240Pa，电机功率5.5kW，输入电压380V/50Hz，重量约659kg
Chế độ gió tươi, lưu lượng gió 15000m3/h, công suất lạnh 248.5kW, công suất gia nhiệt bằng hơi nước 154kW, lượng tạo ẩm bằng hơi nước 22kg/h, áp suất tĩnh ngoài 240Pa, công suất động cơ 5.5kW, điện áp đầu vào 380V/50Hz, trọng lượng khoảng 659kg
3.功能段:G4初效段+表冷段+加热段+加湿段+风机送风段
3. Các khoang chức năng: Khoang lọc thô G4 + khoang coil làm lạnh + khoang gia nhiệt + khoang tạo ẩm + khoang quạt cấp gió
4.安装形式:吊顶式
4. Hình thức lắp đặt: Treo trần
5.其他:符合设计图纸以及施工规范要求
5. Khác: Phù hợp yêu cầu của bản vẽ thiết kế và quy phạm thi công</t>
        </is>
      </c>
      <c r="D9" s="11" t="inlineStr">
        <is>
          <t>台
Máy</t>
        </is>
      </c>
      <c r="E9" s="36" t="n">
        <v>4</v>
      </c>
      <c r="F9" s="15" t="n"/>
      <c r="G9" s="15" t="n"/>
      <c r="H9" s="15">
        <f>F9+G9</f>
        <v/>
      </c>
      <c r="I9" s="13">
        <f>E9*H9</f>
        <v/>
      </c>
      <c r="J9" s="35" t="inlineStr">
        <is>
          <t>麦克维尔、申菱
McQuay (麦克维尔), Shenling (申菱)</t>
        </is>
      </c>
    </row>
    <row r="10" ht="143" customHeight="1">
      <c r="A10" s="11" t="n">
        <v>4</v>
      </c>
      <c r="B10" s="12" t="inlineStr">
        <is>
          <t>吊顶式空气处理机组
Cụm xử lý không khí kiểu treo trần
RCU-150</t>
        </is>
      </c>
      <c r="C10" s="35" t="inlineStr">
        <is>
          <t>1.名称:吊顶式空气处理机组
1. Tên: Cụm xử lý không khí kiểu treo trần
2.编号:RCU-150
2. Mã hiệu: RCU-150
回风工况，风量15000m3/h，制冷量115kW，机外静压240Pa，电机功率5.5kW，输入电压380V/50Hz，双层尼龙过滤网
Chế độ gió hồi, lưu lượng gió 15000m3/h, công suất lạnh 115kW, áp suất tĩnh ngoài 240Pa, công suất động cơ 5.5kW, điện áp đầu vào 380V/50Hz, lưới lọc nylon hai lớp
3.安装形式:吊顶式
3. Hình thức lắp đặt: Treo trần
4.其他:符合设计图纸以及施工规范要求
4. Khác: Phù hợp yêu cầu của bản vẽ thiết kế và quy phạm thi công</t>
        </is>
      </c>
      <c r="D10" s="11" t="inlineStr">
        <is>
          <t>台
Máy</t>
        </is>
      </c>
      <c r="E10" s="36" t="n">
        <v>34</v>
      </c>
      <c r="F10" s="15" t="n"/>
      <c r="G10" s="15" t="n"/>
      <c r="H10" s="15">
        <f>F10+G10</f>
        <v/>
      </c>
      <c r="I10" s="13">
        <f>E10*H10</f>
        <v/>
      </c>
      <c r="J10" s="35" t="inlineStr">
        <is>
          <t>麦克维尔、申菱
McQuay (麦克维尔), Shenling (申菱)</t>
        </is>
      </c>
    </row>
    <row r="11" ht="143" customHeight="1">
      <c r="A11" s="11" t="n">
        <v>5</v>
      </c>
      <c r="B11" s="12" t="inlineStr">
        <is>
          <t>吊顶式射流空气处理机组
Cụm xử lý không khí thổi tia (jet) kiểu treo trần
RCU-50S</t>
        </is>
      </c>
      <c r="C11" s="35" t="inlineStr">
        <is>
          <t>1.名称:吊顶式射流空气处理机组
1. Tên: Cụm xử lý không khí thổi tia (jet) kiểu treo trần
2.编号:RCU-50S
2. Mã hiệu: RCU-50S
回风工况，风量5000m3/h，制冷量36kW，射程27m，电机功率1.5kW，输入电压380V/50Hz，双层尼龙过滤网
Chế độ gió hồi, lưu lượng gió 5000m3/h, công suất lạnh 36kW, tầm thổi 27m, công suất động cơ 1.5kW, điện áp đầu vào 380V/50Hz, lưới lọc nylon hai lớp
3.安装形式:吊顶式
3. Hình thức lắp đặt: Treo trần
4.其他:符合设计图纸以及施工规范要求
4. Khác: Phù hợp yêu cầu của bản vẽ thiết kế và quy phạm thi công</t>
        </is>
      </c>
      <c r="D11" s="11" t="inlineStr">
        <is>
          <t>台
Máy</t>
        </is>
      </c>
      <c r="E11" s="36" t="n">
        <v>4</v>
      </c>
      <c r="F11" s="15" t="n"/>
      <c r="G11" s="15" t="n"/>
      <c r="H11" s="15">
        <f>F11+G11</f>
        <v/>
      </c>
      <c r="I11" s="13">
        <f>E11*H11</f>
        <v/>
      </c>
      <c r="J11" s="35" t="inlineStr">
        <is>
          <t>麦克维尔、申菱
McQuay (麦克维尔), Shenling (申菱)</t>
        </is>
      </c>
    </row>
    <row r="12" ht="143" customHeight="1">
      <c r="A12" s="11" t="n">
        <v>6</v>
      </c>
      <c r="B12" s="12" t="inlineStr">
        <is>
          <t>吊顶式全新空气处理机组
Cụm xử lý không khí 100% gió tươi kiểu treo trần
FAU-150</t>
        </is>
      </c>
      <c r="C12" s="35" t="inlineStr">
        <is>
          <t>1.名称:吊顶式空气处理机组
1. Tên: Cụm xử lý không khí kiểu treo trần
2.编号:FAU-150
2. Mã hiệu: FAU-150
新风工况，风量15000m3/h，制冷量248.5kW，机外静压240Pa，电机功率5.5kW，输入电压380V/50Hz，双层尼龙过滤网
Chế độ gió tươi, lưu lượng gió 15000m3/h, công suất lạnh 248.5kW, áp suất tĩnh ngoài 240Pa, công suất động cơ 5.5kW, điện áp đầu vào 380V/50Hz, lưới lọc nylon hai lớp
3.安装形式:吊顶式
3. Hình thức lắp đặt: Treo trần
4.其他:符合设计图纸以及施工规范要求
4. Khác: Phù hợp yêu cầu của bản vẽ thiết kế và quy phạm thi công</t>
        </is>
      </c>
      <c r="D12" s="11" t="inlineStr">
        <is>
          <t>台
Máy</t>
        </is>
      </c>
      <c r="E12" s="36" t="n">
        <v>10</v>
      </c>
      <c r="F12" s="15" t="n"/>
      <c r="G12" s="15" t="n"/>
      <c r="H12" s="15">
        <f>F12+G12</f>
        <v/>
      </c>
      <c r="I12" s="13">
        <f>E12*H12</f>
        <v/>
      </c>
      <c r="J12" s="35" t="inlineStr">
        <is>
          <t>麦克维尔、申菱
McQuay (麦克维尔), Shenling (申菱)</t>
        </is>
      </c>
    </row>
    <row r="13" ht="131.5" customHeight="1">
      <c r="A13" s="11" t="n">
        <v>7</v>
      </c>
      <c r="B13" s="12" t="inlineStr">
        <is>
          <t>卧式明装风机盘管
Dàn quạt lạnh (FCU) nằm ngang lắp nổi
FCU-238M</t>
        </is>
      </c>
      <c r="C13" s="35" t="inlineStr">
        <is>
          <t>1.名称:卧式明装风机盘管
1. Tên: Dàn quạt lạnh (FCU) nằm ngang lắp nổi
2.编号:FCU-238M
2. Mã hiệu: FCU-238M
风量2380m3/h，制冷量12.6kW，输入功率221W，输入电压：220V/50Hz
Lưu lượng gió 2380m3/h, công suất lạnh 12.6kW, công suất đầu vào 221W, điện áp đầu vào: 220V/50Hz
3.安装形式:吊顶式
3. Hình thức lắp đặt: Treo trần
4.其他:符合设计图纸以及施工规范要求
4. Khác: Phù hợp yêu cầu của bản vẽ thiết kế và quy phạm thi công</t>
        </is>
      </c>
      <c r="D13" s="11" t="inlineStr">
        <is>
          <t>台
Máy</t>
        </is>
      </c>
      <c r="E13" s="36" t="n">
        <v>25</v>
      </c>
      <c r="F13" s="15" t="n"/>
      <c r="G13" s="15" t="n"/>
      <c r="H13" s="15">
        <f>F13+G13</f>
        <v/>
      </c>
      <c r="I13" s="13">
        <f>E13*H13</f>
        <v/>
      </c>
      <c r="J13" s="35" t="inlineStr">
        <is>
          <t>麦克维尔、申菱
McQuay (麦克维尔), Shenling (申菱)</t>
        </is>
      </c>
    </row>
    <row r="14" ht="131.5" customHeight="1">
      <c r="A14" s="11" t="n">
        <v>8</v>
      </c>
      <c r="B14" s="12" t="inlineStr">
        <is>
          <t>卧式明装风机盘管
Dàn quạt lạnh (FCU) nằm ngang lắp nổi
FCU-204M</t>
        </is>
      </c>
      <c r="C14" s="35" t="inlineStr">
        <is>
          <t>1.名称:卧式明装风机盘管
1. Tên: Dàn quạt lạnh (FCU) nằm ngang lắp nổi
2.编号:FCU-204M
2. Mã hiệu: FCU-204M
风量2040m3/h，制冷量10.8kW，输入功率183W，输入电压：220V/50Hz
Lưu lượng gió 2040m3/h, công suất lạnh 10.8kW, công suất đầu vào 183W, điện áp đầu vào: 220V/50Hz
3.安装形式:吊顶式
3. Hình thức lắp đặt: Treo trần
4.其他:符合设计图纸以及施工规范要求
4. Khác: Phù hợp yêu cầu của bản vẽ thiết kế và quy phạm thi công</t>
        </is>
      </c>
      <c r="D14" s="11" t="inlineStr">
        <is>
          <t>台
Máy</t>
        </is>
      </c>
      <c r="E14" s="36" t="n">
        <v>4</v>
      </c>
      <c r="F14" s="15" t="n"/>
      <c r="G14" s="15" t="n"/>
      <c r="H14" s="15">
        <f>F14+G14</f>
        <v/>
      </c>
      <c r="I14" s="13">
        <f>E14*H14</f>
        <v/>
      </c>
      <c r="J14" s="35" t="inlineStr">
        <is>
          <t>麦克维尔、申菱
McQuay (麦克维尔), Shenling (申菱)</t>
        </is>
      </c>
    </row>
    <row r="15" ht="131.5" customHeight="1">
      <c r="A15" s="11" t="n">
        <v>9</v>
      </c>
      <c r="B15" s="12" t="inlineStr">
        <is>
          <t>卧式明装风机盘管
Dàn quạt lạnh (FCU) nằm ngang lắp nổi
FCU-170M</t>
        </is>
      </c>
      <c r="C15" s="35" t="inlineStr">
        <is>
          <t>1.名称:卧式明装风机盘管
1. Tên: Dàn quạt lạnh (FCU) nằm ngang lắp nổi
2.编号:FCU-170M
2. Mã hiệu: FCU-170M
风量1700m3/h，制冷量9.0kW，输入功率147W，输入电压：220V/50Hz
Lưu lượng gió 1700m3/h, công suất lạnh 9.0kW, công suất đầu vào 147W, điện áp đầu vào: 220V/50Hz
3.安装形式:吊顶式
3. Hình thức lắp đặt: Treo trần
4.其他:符合设计图纸以及施工规范要求
4. Khác: Phù hợp yêu cầu của bản vẽ thiết kế và quy phạm thi công</t>
        </is>
      </c>
      <c r="D15" s="11" t="inlineStr">
        <is>
          <t>台
Máy</t>
        </is>
      </c>
      <c r="E15" s="36" t="n">
        <v>6</v>
      </c>
      <c r="F15" s="15" t="n"/>
      <c r="G15" s="15" t="n"/>
      <c r="H15" s="15">
        <f>F15+G15</f>
        <v/>
      </c>
      <c r="I15" s="13">
        <f>E15*H15</f>
        <v/>
      </c>
      <c r="J15" s="35" t="inlineStr">
        <is>
          <t>麦克维尔、申菱
McQuay (麦克维尔), Shenling (申菱)</t>
        </is>
      </c>
    </row>
    <row r="16" ht="131.5" customHeight="1">
      <c r="A16" s="11" t="n">
        <v>10</v>
      </c>
      <c r="B16" s="12" t="inlineStr">
        <is>
          <t>卧式明装风机盘管
Dàn quạt lạnh (FCU) nằm ngang lắp nổi
FCU-136M</t>
        </is>
      </c>
      <c r="C16" s="35" t="inlineStr">
        <is>
          <t>1.名称:卧式明装风机盘管
1. Tên: Dàn quạt lạnh (FCU) nằm ngang lắp nổi
2.编号:FCU-136M
2. Mã hiệu: FCU-136M
风量1360m3/h，制冷量7.2kW，输入功率142W，输入电压：220V/50Hz
Lưu lượng gió 1360m3/h, công suất lạnh 7.2kW, công suất đầu vào 142W, điện áp đầu vào: 220V/50Hz
3.安装形式:吊顶式
3. Hình thức lắp đặt: Treo trần
4.其他:符合设计图纸以及施工规范要求
4. Khác: Phù hợp yêu cầu của bản vẽ thiết kế và quy phạm thi công</t>
        </is>
      </c>
      <c r="D16" s="11" t="inlineStr">
        <is>
          <t>台
Máy</t>
        </is>
      </c>
      <c r="E16" s="36" t="n">
        <v>2</v>
      </c>
      <c r="F16" s="15" t="n"/>
      <c r="G16" s="15" t="n"/>
      <c r="H16" s="15">
        <f>F16+G16</f>
        <v/>
      </c>
      <c r="I16" s="13">
        <f>E16*H16</f>
        <v/>
      </c>
      <c r="J16" s="35" t="inlineStr">
        <is>
          <t>麦克维尔、申菱
McQuay (麦克维尔), Shenling (申菱)</t>
        </is>
      </c>
    </row>
    <row r="17" ht="131.5" customHeight="1">
      <c r="A17" s="11" t="n">
        <v>11</v>
      </c>
      <c r="B17" s="12" t="inlineStr">
        <is>
          <t>卧式明装风机盘管
Dàn quạt lạnh (FCU) nằm ngang lắp nổi
FCU-85M</t>
        </is>
      </c>
      <c r="C17" s="35" t="inlineStr">
        <is>
          <t>1.名称:卧式明装风机盘管
1. Tên: Dàn quạt lạnh (FCU) nằm ngang lắp nổi
2.编号:FCU-85M
2. Mã hiệu: FCU-85M
风量850m3/h，制冷量4.5kW，输入功率80W，输入电压：220V/50Hz
Lưu lượng gió 850m3/h, công suất lạnh 4.5kW, công suất đầu vào 80W, điện áp đầu vào: 220V/50Hz
3.安装形式:吊顶式
3. Hình thức lắp đặt: Treo trần
4.其他:符合设计图纸以及施工规范要求
4. Khác: Phù hợp yêu cầu của bản vẽ thiết kế và quy phạm thi công</t>
        </is>
      </c>
      <c r="D17" s="11" t="inlineStr">
        <is>
          <t>台
Máy</t>
        </is>
      </c>
      <c r="E17" s="36" t="n">
        <v>3</v>
      </c>
      <c r="F17" s="15" t="n"/>
      <c r="G17" s="15" t="n"/>
      <c r="H17" s="15">
        <f>F17+G17</f>
        <v/>
      </c>
      <c r="I17" s="13">
        <f>E17*H17</f>
        <v/>
      </c>
      <c r="J17" s="35" t="inlineStr">
        <is>
          <t>麦克维尔、申菱
McQuay (麦克维尔), Shenling (申菱)</t>
        </is>
      </c>
    </row>
    <row r="18" ht="131.5" customHeight="1">
      <c r="A18" s="11" t="n">
        <v>12</v>
      </c>
      <c r="B18" s="12" t="inlineStr">
        <is>
          <t>卧式明装风机盘管
Dàn quạt lạnh (FCU) nằm ngang lắp nổi
FCU-68M</t>
        </is>
      </c>
      <c r="C18" s="35" t="inlineStr">
        <is>
          <t>1.名称:卧式明装风机盘管
1. Tên: Dàn quạt lạnh (FCU) nằm ngang lắp nổi
2.编号:FCU-68M
2. Mã hiệu: FCU-68M
风量680m3/h，制冷量3.6kW，输入功率70W，输入电压：220V/50Hz
Lưu lượng gió 680m3/h, công suất lạnh 3.6kW, công suất đầu vào 70W, điện áp đầu vào: 220V/50Hz
3.安装形式:吊顶式
3. Hình thức lắp đặt: Treo trần
4.其他:符合设计图纸以及施工规范要求
4. Khác: Phù hợp yêu cầu của bản vẽ thiết kế và quy phạm thi công</t>
        </is>
      </c>
      <c r="D18" s="11" t="inlineStr">
        <is>
          <t>台
Máy</t>
        </is>
      </c>
      <c r="E18" s="36" t="n">
        <v>18</v>
      </c>
      <c r="F18" s="15" t="n"/>
      <c r="G18" s="15" t="n"/>
      <c r="H18" s="15">
        <f>F18+G18</f>
        <v/>
      </c>
      <c r="I18" s="13">
        <f>E18*H18</f>
        <v/>
      </c>
      <c r="J18" s="35" t="inlineStr">
        <is>
          <t>麦克维尔、申菱
McQuay (麦克维尔), Shenling (申菱)</t>
        </is>
      </c>
    </row>
    <row r="19" ht="120" customHeight="1">
      <c r="A19" s="11" t="n">
        <v>13</v>
      </c>
      <c r="B19" s="12" t="inlineStr">
        <is>
          <t>吊顶式恒温恒湿空气处理机组AHU-300安装支吊架
Giá treo đỡ lắp đặt cụm xử lý không khí ổn định nhiệt độ - độ ẩm kiểu treo trần AHU-300</t>
        </is>
      </c>
      <c r="C19" s="35" t="inlineStr">
        <is>
          <t>1.形式:吊托支架
1. Hình thức: Giá treo đỡ
2.材质:14#、16#工字钢，方形钢板
2. Vật liệu: Thép chữ I số 14#, 16#, thép tấm vuông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19" s="11" t="inlineStr">
        <is>
          <t>kg</t>
        </is>
      </c>
      <c r="E19" s="40" t="n">
        <v>15551.1</v>
      </c>
      <c r="F19" s="15" t="n"/>
      <c r="G19" s="15" t="n"/>
      <c r="H19" s="15">
        <f>F19+G19</f>
        <v/>
      </c>
      <c r="I19" s="13">
        <f>E19*H19</f>
        <v/>
      </c>
      <c r="J19" s="35" t="inlineStr">
        <is>
          <t>国标
Tiêu chuẩn quốc gia (GB)</t>
        </is>
      </c>
    </row>
    <row r="20" ht="120" customHeight="1">
      <c r="A20" s="11" t="n">
        <v>14</v>
      </c>
      <c r="B20" s="12" t="inlineStr">
        <is>
          <t>吊顶式恒温恒湿空气处理机组AHU-150/MAU-150安装支吊架
Giá treo đỡ lắp đặt cụm xử lý không khí ổn định nhiệt độ - độ ẩm kiểu treo trần AHU-150/MAU-150</t>
        </is>
      </c>
      <c r="C20" s="35" t="inlineStr">
        <is>
          <t>1.形式:吊托支架
1. Hình thức: Giá treo đỡ
2.材质:12#、14#工字钢，方形钢板
2. Vật liệu: Thép chữ I số 12#, 14#, thép tấm vuông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20" s="11" t="inlineStr">
        <is>
          <t>kg</t>
        </is>
      </c>
      <c r="E20" s="40" t="n">
        <v>11423.7</v>
      </c>
      <c r="F20" s="15" t="n"/>
      <c r="G20" s="15" t="n"/>
      <c r="H20" s="15">
        <f>F20+G20</f>
        <v/>
      </c>
      <c r="I20" s="13">
        <f>E20*H20</f>
        <v/>
      </c>
      <c r="J20" s="35" t="inlineStr">
        <is>
          <t>国标
Tiêu chuẩn quốc gia (GB)</t>
        </is>
      </c>
    </row>
    <row r="21" ht="120" customHeight="1">
      <c r="A21" s="11" t="n">
        <v>15</v>
      </c>
      <c r="B21" s="12" t="inlineStr">
        <is>
          <t>吊顶式空气处理机组RCU-150/FAU-150安装支吊架
Giá treo đỡ lắp đặt cụm xử lý không khí kiểu treo trần RCU-150/FAU-150</t>
        </is>
      </c>
      <c r="C21" s="35" t="inlineStr">
        <is>
          <t>1.形式:吊托支架
1. Hình thức: Giá treo đỡ
2.材质:12#槽钢
2. Vật liệu: Thép chữ U số 12#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21" s="11" t="inlineStr">
        <is>
          <t>kg</t>
        </is>
      </c>
      <c r="E21" s="40" t="n">
        <v>6956.7</v>
      </c>
      <c r="F21" s="15" t="n"/>
      <c r="G21" s="15" t="n"/>
      <c r="H21" s="15">
        <f>F21+G21</f>
        <v/>
      </c>
      <c r="I21" s="13">
        <f>E21*H21</f>
        <v/>
      </c>
      <c r="J21" s="35" t="inlineStr">
        <is>
          <t>国标
Tiêu chuẩn quốc gia (GB)</t>
        </is>
      </c>
    </row>
    <row r="22" ht="120" customHeight="1">
      <c r="A22" s="11" t="n">
        <v>16</v>
      </c>
      <c r="B22" s="12" t="inlineStr">
        <is>
          <t>吊顶式空气处理机组RCU-50S安装支吊架
Giá treo đỡ lắp đặt cụm xử lý không khí kiểu treo trần RCU-50S</t>
        </is>
      </c>
      <c r="C22" s="35" t="inlineStr">
        <is>
          <t>1.形式:吊托支架
1. Hình thức: Giá treo đỡ
2.材质:16#槽钢、丝杆
2. Vật liệu: Thép chữ U số 16#, ty ren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22" s="11" t="inlineStr">
        <is>
          <t>kg</t>
        </is>
      </c>
      <c r="E22" s="40" t="n">
        <v>205.5</v>
      </c>
      <c r="F22" s="15" t="n"/>
      <c r="G22" s="15" t="n"/>
      <c r="H22" s="15">
        <f>F22+G22</f>
        <v/>
      </c>
      <c r="I22" s="13">
        <f>E22*H22</f>
        <v/>
      </c>
      <c r="J22" s="35" t="inlineStr">
        <is>
          <t>国标
Tiêu chuẩn quốc gia (GB)</t>
        </is>
      </c>
    </row>
    <row r="23" ht="120" customHeight="1">
      <c r="A23" s="11" t="n">
        <v>17</v>
      </c>
      <c r="B23" s="12" t="inlineStr">
        <is>
          <t>风机盘管安装支吊架
Giá treo đỡ lắp đặt dàn quạt lạnh (FCU)</t>
        </is>
      </c>
      <c r="C23" s="35" t="inlineStr">
        <is>
          <t>1.形式:吊杆
1. Hình thức: Thanh treo
2.材质:丝杆
2. Vật liệu: Ty ren
3.除锈、刷油:手工除锈，防锈漆、调和漆各二道
3. Tẩy gỉ, sơn: Tẩy gỉ thủ công, sơn chống gỉ và sơn phủ mỗi loại hai lớp
4.含减震胶垫
4. Gồm đệm cao su giảm chấn
5.其他:符合设计图纸以及施工规范要求
5. Khác: Phù hợp yêu cầu của bản vẽ thiết kế và quy phạm thi công</t>
        </is>
      </c>
      <c r="D23" s="11" t="inlineStr">
        <is>
          <t>kg</t>
        </is>
      </c>
      <c r="E23" s="40" t="n">
        <v>322.1</v>
      </c>
      <c r="F23" s="15" t="n"/>
      <c r="G23" s="15" t="n"/>
      <c r="H23" s="15">
        <f>F23+G23</f>
        <v/>
      </c>
      <c r="I23" s="13">
        <f>E23*H23</f>
        <v/>
      </c>
      <c r="J23" s="35" t="inlineStr">
        <is>
          <t>国标
Tiêu chuẩn quốc gia (GB)</t>
        </is>
      </c>
    </row>
    <row r="24">
      <c r="A24" s="37" t="n"/>
      <c r="B24" s="38" t="inlineStr">
        <is>
          <t>小计 / Cộng</t>
        </is>
      </c>
      <c r="C24" s="37" t="n"/>
      <c r="D24" s="37" t="n"/>
      <c r="E24" s="37" t="n"/>
      <c r="F24" s="37" t="n"/>
      <c r="G24" s="37" t="n"/>
      <c r="H24" s="37" t="n"/>
      <c r="I24" s="39">
        <f>SUM(I7:I23)</f>
        <v/>
      </c>
      <c r="J24" s="37" t="n"/>
    </row>
    <row r="25" ht="28" customHeight="1">
      <c r="A25" s="33" t="inlineStr">
        <is>
          <t>二、
II.</t>
        </is>
      </c>
      <c r="B25" s="34" t="inlineStr">
        <is>
          <t>空调风系统 / Hệ thống gió điều hòa</t>
        </is>
      </c>
      <c r="C25" s="34" t="n"/>
      <c r="D25" s="34" t="n"/>
      <c r="E25" s="34" t="n"/>
      <c r="F25" s="34" t="n"/>
      <c r="G25" s="34" t="n"/>
      <c r="H25" s="34" t="n"/>
      <c r="I25" s="34" t="n"/>
      <c r="J25" s="34" t="n"/>
    </row>
    <row r="26" ht="189" customHeight="1">
      <c r="A26" s="11" t="n">
        <v>18</v>
      </c>
      <c r="B26" s="12" t="inlineStr">
        <is>
          <t>空调风管
Ống gió điều hòa</t>
        </is>
      </c>
      <c r="C26" s="35" t="inlineStr">
        <is>
          <t>1.名称:空调风管
1. Tên: Ống gió điều hòa
2.材质:镀锌薄钢板
2. Vật liệu: Tôn mạ kẽm
3.规格:450＜长边长(mm) ≤630
3. Quy cách: 450＜chiều dài cạnh lớn (mm) ≤630
4.形状:矩形
4. Hình dạng: Hình chữ nhật
5.接口形式:共板法兰连接
5. Hình thức mối nối: Nối bích liền (TDC)
6.板材厚度:δ=0.6mm
6. Độ dày tôn: δ=0.6mm
7.含管件、法兰等附件
7. Gồm phụ kiện như phụ kiện ống, mặt bích, v.v.
8.其他:符合设计图纸及施工规范要求
8. Khác: Phù hợp yêu cầu của bản vẽ thiết kế và quy phạm thi công</t>
        </is>
      </c>
      <c r="D26" s="11" t="inlineStr">
        <is>
          <t>㎡</t>
        </is>
      </c>
      <c r="E26" s="40" t="n">
        <v>2011.6024</v>
      </c>
      <c r="F26" s="15" t="n"/>
      <c r="G26" s="15" t="n"/>
      <c r="H26" s="15">
        <f>F26+G26</f>
        <v/>
      </c>
      <c r="I26" s="13">
        <f>E26*H26</f>
        <v/>
      </c>
      <c r="J26" s="35" t="inlineStr">
        <is>
          <t>华友、鞍钢
Huayou (华友), Ansteel (鞍钢)</t>
        </is>
      </c>
    </row>
    <row r="27" ht="189" customHeight="1">
      <c r="A27" s="11" t="n">
        <v>19</v>
      </c>
      <c r="B27" s="12" t="inlineStr">
        <is>
          <t>空调风管
Ống gió điều hòa</t>
        </is>
      </c>
      <c r="C27" s="35" t="inlineStr">
        <is>
          <t>1.名称:空调风管
1. Tên: Ống gió điều hòa
2.材质:镀锌薄钢板
2. Vật liệu: Tôn mạ kẽm
3.规格:630＜长边长(mm) ≤1000
3. Quy cách: 630＜chiều dài cạnh lớn (mm) ≤1000
4.形状:矩形
4. Hình dạng: Hình chữ nhật
5.接口形式:共板法兰连接
5. Hình thức mối nối: Nối bích liền (TDC)
6.板材厚度:δ=0.75mm
6. Độ dày tôn: δ=0.75mm
7.含管件、法兰等附件
7. Gồm phụ kiện như phụ kiện ống, mặt bích, v.v.
8.其他:符合设计图纸及施工规范要求
8. Khác: Phù hợp yêu cầu của bản vẽ thiết kế và quy phạm thi công</t>
        </is>
      </c>
      <c r="D27" s="11" t="inlineStr">
        <is>
          <t>㎡</t>
        </is>
      </c>
      <c r="E27" s="40" t="n">
        <v>8961.5</v>
      </c>
      <c r="F27" s="15" t="n"/>
      <c r="G27" s="15" t="n"/>
      <c r="H27" s="15">
        <f>F27+G27</f>
        <v/>
      </c>
      <c r="I27" s="13">
        <f>E27*H27</f>
        <v/>
      </c>
      <c r="J27" s="35" t="inlineStr">
        <is>
          <t>华友、鞍钢
Huayou (华友), Ansteel (鞍钢)</t>
        </is>
      </c>
    </row>
    <row r="28" ht="189" customHeight="1">
      <c r="A28" s="11" t="n">
        <v>20</v>
      </c>
      <c r="B28" s="12" t="inlineStr">
        <is>
          <t>空调风管
Ống gió điều hòa</t>
        </is>
      </c>
      <c r="C28" s="35" t="inlineStr">
        <is>
          <t>1.名称:空调风管
1. Tên: Ống gió điều hòa
2.材质:镀锌薄钢板
2. Vật liệu: Tôn mạ kẽm
3.规格:1000＜长边长(mm) ≤1500
3. Quy cách: 1000＜chiều dài cạnh lớn (mm) ≤1500
4.形状:矩形
4. Hình dạng: Hình chữ nhật
5.接口形式:共板法兰连接
5. Hình thức mối nối: Nối bích liền (TDC)
6.板材厚度:δ=1.0mm
6. Độ dày tôn: δ=1.0mm
7.含管件、法兰等附件
7. Gồm phụ kiện như phụ kiện ống, mặt bích, v.v.
8.其他:符合设计图纸及施工规范要求
8. Khác: Phù hợp yêu cầu của bản vẽ thiết kế và quy phạm thi công</t>
        </is>
      </c>
      <c r="D28" s="11" t="inlineStr">
        <is>
          <t>㎡</t>
        </is>
      </c>
      <c r="E28" s="40" t="n">
        <v>1810.4</v>
      </c>
      <c r="F28" s="15" t="n"/>
      <c r="G28" s="15" t="n"/>
      <c r="H28" s="15">
        <f>F28+G28</f>
        <v/>
      </c>
      <c r="I28" s="13">
        <f>E28*H28</f>
        <v/>
      </c>
      <c r="J28" s="35" t="inlineStr">
        <is>
          <t>华友、鞍钢
Huayou (华友), Ansteel (鞍钢)</t>
        </is>
      </c>
    </row>
    <row r="29" ht="189" customHeight="1">
      <c r="A29" s="11" t="n">
        <v>21</v>
      </c>
      <c r="B29" s="12" t="inlineStr">
        <is>
          <t>空调风管
Ống gió điều hòa</t>
        </is>
      </c>
      <c r="C29" s="35" t="inlineStr">
        <is>
          <t>1.名称:空调风管
1. Tên: Ống gió điều hòa
2.材质:镀锌薄钢板
2. Vật liệu: Tôn mạ kẽm
3.规格:1500＜长边长(mm) ≤2000
3. Quy cách: 1500＜chiều dài cạnh lớn (mm) ≤2000
4.形状:矩形
4. Hình dạng: Hình chữ nhật
5.接口形式:共板法兰连接
5. Hình thức mối nối: Nối bích liền (TDC)
6.板材厚度:δ=1.2mm
6. Độ dày tôn: δ=1.2mm
7.含管件、法兰等附件
7. Gồm phụ kiện như phụ kiện ống, mặt bích, v.v.
8.其他:符合设计图纸及施工规范要求
8. Khác: Phù hợp yêu cầu của bản vẽ thiết kế và quy phạm thi công</t>
        </is>
      </c>
      <c r="D29" s="11" t="inlineStr">
        <is>
          <t>㎡</t>
        </is>
      </c>
      <c r="E29" s="40" t="n">
        <v>48.7</v>
      </c>
      <c r="F29" s="15" t="n"/>
      <c r="G29" s="15" t="n"/>
      <c r="H29" s="15">
        <f>F29+G29</f>
        <v/>
      </c>
      <c r="I29" s="13">
        <f>E29*H29</f>
        <v/>
      </c>
      <c r="J29" s="35" t="inlineStr">
        <is>
          <t>华友、鞍钢
Huayou (华友), Ansteel (鞍钢)</t>
        </is>
      </c>
    </row>
    <row r="30" ht="189" customHeight="1">
      <c r="A30" s="11" t="n">
        <v>22</v>
      </c>
      <c r="B30" s="12" t="inlineStr">
        <is>
          <t>静压箱
Hộp áp suất tĩnh (plenum)</t>
        </is>
      </c>
      <c r="C30" s="35" t="inlineStr">
        <is>
          <t>1.名称:静压箱
1. Tên: Hộp áp suất tĩnh (plenum)
2.材质:镀锌薄钢板
2. Vật liệu: Tôn mạ kẽm
3.规格:2300*1000*1000
3. Quy cách: 2300*1000*1000
4.形状:矩形
4. Hình dạng: Hình chữ nhật
5.接口形式:咬口连接
5. Hình thức mối nối: Nối gấp mép
6.板材厚度:δ=1.2mm
6. Độ dày tôn: δ=1.2mm
7.保温材质:B1级橡塑保温棉δ=25mm
7. Vật liệu bảo ôn: Bông bảo ôn cao su-nhựa cấp B1 δ=25mm
8.其他:符合设计图纸及施工规范要求
8. Khác: Phù hợp yêu cầu của bản vẽ thiết kế và quy phạm thi công</t>
        </is>
      </c>
      <c r="D30" s="11" t="inlineStr">
        <is>
          <t>个
Cái</t>
        </is>
      </c>
      <c r="E30" s="36" t="n">
        <v>44</v>
      </c>
      <c r="F30" s="15" t="n"/>
      <c r="G30" s="15" t="n"/>
      <c r="H30" s="15">
        <f>F30+G30</f>
        <v/>
      </c>
      <c r="I30" s="13">
        <f>E30*H30</f>
        <v/>
      </c>
      <c r="J30" s="35" t="inlineStr">
        <is>
          <t>国标
Tiêu chuẩn quốc gia (GB)</t>
        </is>
      </c>
    </row>
    <row r="31" ht="189" customHeight="1">
      <c r="A31" s="11" t="n">
        <v>23</v>
      </c>
      <c r="B31" s="12" t="inlineStr">
        <is>
          <t>静压箱
Hộp áp suất tĩnh (plenum)</t>
        </is>
      </c>
      <c r="C31" s="35" t="inlineStr">
        <is>
          <t>1.名称:静压箱
1. Tên: Hộp áp suất tĩnh (plenum)
2.材质:镀锌薄钢板
2. Vật liệu: Tôn mạ kẽm
3.规格:2200*1200*1000
3. Quy cách: 2200*1200*1000
4.形状:矩形
4. Hình dạng: Hình chữ nhật
5.接口形式:咬口连接
5. Hình thức mối nối: Nối gấp mép
6.板材厚度:δ=1.2mm
6. Độ dày tôn: δ=1.2mm
7.保温材质:B1级橡塑保温棉δ=25mm
7. Vật liệu bảo ôn: Bông bảo ôn cao su-nhựa cấp B1 δ=25mm
8.其他:符合设计图纸及施工规范要求
8. Khác: Phù hợp yêu cầu của bản vẽ thiết kế và quy phạm thi công</t>
        </is>
      </c>
      <c r="D31" s="11" t="inlineStr">
        <is>
          <t>个
Cái</t>
        </is>
      </c>
      <c r="E31" s="36" t="n">
        <v>48</v>
      </c>
      <c r="F31" s="15" t="n"/>
      <c r="G31" s="15" t="n"/>
      <c r="H31" s="15">
        <f>F31+G31</f>
        <v/>
      </c>
      <c r="I31" s="13">
        <f>E31*H31</f>
        <v/>
      </c>
      <c r="J31" s="35" t="inlineStr">
        <is>
          <t>国标
Tiêu chuẩn quốc gia (GB)</t>
        </is>
      </c>
    </row>
    <row r="32" ht="189" customHeight="1">
      <c r="A32" s="11" t="n">
        <v>24</v>
      </c>
      <c r="B32" s="12" t="inlineStr">
        <is>
          <t>静压箱
Hộp áp suất tĩnh (plenum)</t>
        </is>
      </c>
      <c r="C32" s="35" t="inlineStr">
        <is>
          <t>1.名称:静压箱
1. Tên: Hộp áp suất tĩnh (plenum)
2.材质:镀锌薄钢板
2. Vật liệu: Tôn mạ kẽm
3.规格:1600*1200*1000
3. Quy cách: 1600*1200*1000
4.形状:矩形
4. Hình dạng: Hình chữ nhật
5.接口形式:咬口连接
5. Hình thức mối nối: Nối gấp mép
6.板材厚度:δ=1.2mm
6. Độ dày tôn: δ=1.2mm
7.保温材质:B1级橡塑保温棉δ=25mm
7. Vật liệu bảo ôn: Bông bảo ôn cao su-nhựa cấp B1 δ=25mm
8.其他:符合设计图纸及施工规范要求
8. Khác: Phù hợp yêu cầu của bản vẽ thiết kế và quy phạm thi công</t>
        </is>
      </c>
      <c r="D32" s="11" t="inlineStr">
        <is>
          <t>个
Cái</t>
        </is>
      </c>
      <c r="E32" s="36" t="n">
        <v>24</v>
      </c>
      <c r="F32" s="15" t="n"/>
      <c r="G32" s="15" t="n"/>
      <c r="H32" s="15">
        <f>F32+G32</f>
        <v/>
      </c>
      <c r="I32" s="13">
        <f>E32*H32</f>
        <v/>
      </c>
      <c r="J32" s="35" t="inlineStr">
        <is>
          <t>国标
Tiêu chuẩn quốc gia (GB)</t>
        </is>
      </c>
    </row>
    <row r="33" ht="97" customHeight="1">
      <c r="A33" s="11" t="n">
        <v>25</v>
      </c>
      <c r="B33" s="12" t="inlineStr">
        <is>
          <t>空调风管绝热
Bảo ôn ống gió điều hòa</t>
        </is>
      </c>
      <c r="C33" s="35" t="inlineStr">
        <is>
          <t>1.名称:空调风管绝热
1. Tên: Bảo ôn ống gió điều hòa
2.材质:B1级橡塑保温棉
2. Vật liệu: Bông bảo ôn cao su-nhựa cấp B1
3.材料厚度:δ=25mm
3. Độ dày vật liệu: δ=25mm
4.其他:符合设计图纸及施工规范要求
4. Khác: Phù hợp yêu cầu của bản vẽ thiết kế và quy phạm thi công</t>
        </is>
      </c>
      <c r="D33" s="11" t="inlineStr">
        <is>
          <t>㎡</t>
        </is>
      </c>
      <c r="E33" s="40" t="n">
        <v>12832.2024</v>
      </c>
      <c r="F33" s="15" t="n"/>
      <c r="G33" s="15" t="n"/>
      <c r="H33" s="15">
        <f>F33+G33</f>
        <v/>
      </c>
      <c r="I33" s="13">
        <f>E33*H33</f>
        <v/>
      </c>
      <c r="J33" s="35" t="inlineStr">
        <is>
          <t>华美
Huamei (华美)</t>
        </is>
      </c>
    </row>
    <row r="34" ht="97" customHeight="1">
      <c r="A34" s="11" t="n">
        <v>26</v>
      </c>
      <c r="B34" s="12" t="inlineStr">
        <is>
          <t>空调风管安装支吊架
Giá treo đỡ lắp đặt ống gió điều hòa</t>
        </is>
      </c>
      <c r="C34" s="35" t="inlineStr">
        <is>
          <t>1.形式:吊托支架
1. Hình thức: Giá treo đỡ
2.材质:角钢、丝杆
2. Vật liệu: Thép góc, ty ren
3.除锈、刷油:手工除锈，防锈漆、调和漆各二道
3. Tẩy gỉ, sơn: Tẩy gỉ thủ công, sơn chống gỉ và sơn phủ mỗi loại hai lớp
4.其他:符合设计图纸以及施工规范要求
4. Khác: Phù hợp yêu cầu của bản vẽ thiết kế và quy phạm thi công</t>
        </is>
      </c>
      <c r="D34" s="11" t="inlineStr">
        <is>
          <t>kg</t>
        </is>
      </c>
      <c r="E34" s="40" t="n">
        <v>11571.9</v>
      </c>
      <c r="F34" s="15" t="n"/>
      <c r="G34" s="15" t="n"/>
      <c r="H34" s="15">
        <f>F34+G34</f>
        <v/>
      </c>
      <c r="I34" s="13">
        <f>E34*H34</f>
        <v/>
      </c>
      <c r="J34" s="35" t="inlineStr">
        <is>
          <t>国标
Tiêu chuẩn quốc gia (GB)</t>
        </is>
      </c>
    </row>
    <row r="35" ht="120" customHeight="1">
      <c r="A35" s="11" t="n">
        <v>27</v>
      </c>
      <c r="B35" s="12" t="inlineStr">
        <is>
          <t>纤维织物风管
Ống gió vải sợi</t>
        </is>
      </c>
      <c r="C35" s="35" t="inlineStr">
        <is>
          <t>1.名称:纤维织物风管
1. Tên: Ống gió vải sợi
2.形状:圆形
2. Hình dạng: Hình tròn
3.规格:φ900，长度20m
3. Quy cách: φ900, chiều dài 20m
4.含挂钩、挂环、内支撑等
4. Gồm móc treo, vòng treo, khung đỡ bên trong, v.v.
5.其他:符合设计图纸及施工规范要求
5. Khác: Phù hợp yêu cầu của bản vẽ thiết kế và quy phạm thi công</t>
        </is>
      </c>
      <c r="D35" s="11" t="inlineStr">
        <is>
          <t>条
Đoạn</t>
        </is>
      </c>
      <c r="E35" s="36" t="n">
        <v>38</v>
      </c>
      <c r="F35" s="15" t="n"/>
      <c r="G35" s="15" t="n"/>
      <c r="H35" s="15">
        <f>F35+G35</f>
        <v/>
      </c>
      <c r="I35" s="13">
        <f>E35*H35</f>
        <v/>
      </c>
      <c r="J35" s="35" t="inlineStr">
        <is>
          <t>国产优质
Hàng sản xuất trong nước chất lượng cao</t>
        </is>
      </c>
    </row>
    <row r="36" ht="120" customHeight="1">
      <c r="A36" s="11" t="n">
        <v>28</v>
      </c>
      <c r="B36" s="12" t="inlineStr">
        <is>
          <t>纤维织物风管
Ống gió vải sợi</t>
        </is>
      </c>
      <c r="C36" s="35" t="inlineStr">
        <is>
          <t>1.名称:纤维织物风管
1. Tên: Ống gió vải sợi
2.形状:圆形
2. Hình dạng: Hình tròn
3.规格:φ900，长度19m
3. Quy cách: φ900, chiều dài 19m
4.含挂钩、挂环、内支撑等
4. Gồm móc treo, vòng treo, khung đỡ bên trong, v.v.
5.其他:符合设计图纸及施工规范要求
5. Khác: Phù hợp yêu cầu của bản vẽ thiết kế và quy phạm thi công</t>
        </is>
      </c>
      <c r="D36" s="11" t="inlineStr">
        <is>
          <t>条
Đoạn</t>
        </is>
      </c>
      <c r="E36" s="36" t="n">
        <v>14</v>
      </c>
      <c r="F36" s="15" t="n"/>
      <c r="G36" s="15" t="n"/>
      <c r="H36" s="15">
        <f>F36+G36</f>
        <v/>
      </c>
      <c r="I36" s="13">
        <f>E36*H36</f>
        <v/>
      </c>
      <c r="J36" s="35" t="inlineStr">
        <is>
          <t>国产优质
Hàng sản xuất trong nước chất lượng cao</t>
        </is>
      </c>
    </row>
    <row r="37" ht="120" customHeight="1">
      <c r="A37" s="11" t="n">
        <v>29</v>
      </c>
      <c r="B37" s="12" t="inlineStr">
        <is>
          <t>纤维织物风管
Ống gió vải sợi</t>
        </is>
      </c>
      <c r="C37" s="35" t="inlineStr">
        <is>
          <t>1.名称:纤维织物风管
1. Tên: Ống gió vải sợi
2.形状:圆形
2. Hình dạng: Hình tròn
3.规格:φ900，长度18m
3. Quy cách: φ900, chiều dài 18m
4.含挂钩、挂环、内支撑等
4. Gồm móc treo, vòng treo, khung đỡ bên trong, v.v.
5.其他:符合设计图纸及施工规范要求
5. Khác: Phù hợp yêu cầu của bản vẽ thiết kế và quy phạm thi công</t>
        </is>
      </c>
      <c r="D37" s="11" t="inlineStr">
        <is>
          <t>条
Đoạn</t>
        </is>
      </c>
      <c r="E37" s="36" t="n">
        <v>6</v>
      </c>
      <c r="F37" s="15" t="n"/>
      <c r="G37" s="15" t="n"/>
      <c r="H37" s="15">
        <f>F37+G37</f>
        <v/>
      </c>
      <c r="I37" s="13">
        <f>E37*H37</f>
        <v/>
      </c>
      <c r="J37" s="35" t="inlineStr">
        <is>
          <t>国产优质
Hàng sản xuất trong nước chất lượng cao</t>
        </is>
      </c>
    </row>
    <row r="38" ht="120" customHeight="1">
      <c r="A38" s="11" t="n">
        <v>30</v>
      </c>
      <c r="B38" s="12" t="inlineStr">
        <is>
          <t>纤维织物风管
Ống gió vải sợi</t>
        </is>
      </c>
      <c r="C38" s="35" t="inlineStr">
        <is>
          <t>1.名称:纤维织物风管
1. Tên: Ống gió vải sợi
2.形状:圆形
2. Hình dạng: Hình tròn
3.规格:φ900，长度15m
3. Quy cách: φ900, chiều dài 15m
4.含挂钩、挂环、内支撑等
4. Gồm móc treo, vòng treo, khung đỡ bên trong, v.v.
5.其他:符合设计图纸及施工规范要求
5. Khác: Phù hợp yêu cầu của bản vẽ thiết kế và quy phạm thi công</t>
        </is>
      </c>
      <c r="D38" s="11" t="inlineStr">
        <is>
          <t>条
Đoạn</t>
        </is>
      </c>
      <c r="E38" s="36" t="n">
        <v>10</v>
      </c>
      <c r="F38" s="15" t="n"/>
      <c r="G38" s="15" t="n"/>
      <c r="H38" s="15">
        <f>F38+G38</f>
        <v/>
      </c>
      <c r="I38" s="13">
        <f>E38*H38</f>
        <v/>
      </c>
      <c r="J38" s="35" t="inlineStr">
        <is>
          <t>国产优质
Hàng sản xuất trong nước chất lượng cao</t>
        </is>
      </c>
    </row>
    <row r="39" ht="120" customHeight="1">
      <c r="A39" s="11" t="n">
        <v>31</v>
      </c>
      <c r="B39" s="12" t="inlineStr">
        <is>
          <t>纤维织物风管
Ống gió vải sợi</t>
        </is>
      </c>
      <c r="C39" s="35" t="inlineStr">
        <is>
          <t>1.名称:纤维织物风管
1. Tên: Ống gió vải sợi
2.形状:圆形
2. Hình dạng: Hình tròn
3.规格:φ750，长度20m
3. Quy cách: φ750, chiều dài 20m
4.含挂钩、挂环、内支撑等
4. Gồm móc treo, vòng treo, khung đỡ bên trong, v.v.
5.其他:符合设计图纸及施工规范要求
5. Khác: Phù hợp yêu cầu của bản vẽ thiết kế và quy phạm thi công</t>
        </is>
      </c>
      <c r="D39" s="11" t="inlineStr">
        <is>
          <t>条
Đoạn</t>
        </is>
      </c>
      <c r="E39" s="36" t="n">
        <v>38</v>
      </c>
      <c r="F39" s="15" t="n"/>
      <c r="G39" s="15" t="n"/>
      <c r="H39" s="15">
        <f>F39+G39</f>
        <v/>
      </c>
      <c r="I39" s="13">
        <f>E39*H39</f>
        <v/>
      </c>
      <c r="J39" s="35" t="inlineStr">
        <is>
          <t>国产优质
Hàng sản xuất trong nước chất lượng cao</t>
        </is>
      </c>
    </row>
    <row r="40" ht="120" customHeight="1">
      <c r="A40" s="11" t="n">
        <v>32</v>
      </c>
      <c r="B40" s="12" t="inlineStr">
        <is>
          <t>纤维织物风管
Ống gió vải sợi</t>
        </is>
      </c>
      <c r="C40" s="35" t="inlineStr">
        <is>
          <t>1.名称:纤维织物风管
1. Tên: Ống gió vải sợi
2.形状:圆形
2. Hình dạng: Hình tròn
3.规格:φ750，长度18m
3. Quy cách: φ750, chiều dài 18m
4.含挂钩、挂环、内支撑等
4. Gồm móc treo, vòng treo, khung đỡ bên trong, v.v.
5.其他:符合设计图纸及施工规范要求
5. Khác: Phù hợp yêu cầu của bản vẽ thiết kế và quy phạm thi công</t>
        </is>
      </c>
      <c r="D40" s="11" t="inlineStr">
        <is>
          <t>条
Đoạn</t>
        </is>
      </c>
      <c r="E40" s="36" t="n">
        <v>6</v>
      </c>
      <c r="F40" s="15" t="n"/>
      <c r="G40" s="15" t="n"/>
      <c r="H40" s="15">
        <f>F40+G40</f>
        <v/>
      </c>
      <c r="I40" s="13">
        <f>E40*H40</f>
        <v/>
      </c>
      <c r="J40" s="35" t="inlineStr">
        <is>
          <t>国产优质
Hàng sản xuất trong nước chất lượng cao</t>
        </is>
      </c>
    </row>
    <row r="41" ht="120" customHeight="1">
      <c r="A41" s="11" t="n">
        <v>33</v>
      </c>
      <c r="B41" s="12" t="inlineStr">
        <is>
          <t>纤维织物风管
Ống gió vải sợi</t>
        </is>
      </c>
      <c r="C41" s="35" t="inlineStr">
        <is>
          <t>1.名称:纤维织物风管
1. Tên: Ống gió vải sợi
2.形状:圆形
2. Hình dạng: Hình tròn
3.规格:φ750，长度17m
3. Quy cách: φ750, chiều dài 17m
4.含挂钩、挂环、内支撑等
4. Gồm móc treo, vòng treo, khung đỡ bên trong, v.v.
5.其他:符合设计图纸及施工规范要求
5. Khác: Phù hợp yêu cầu của bản vẽ thiết kế và quy phạm thi công</t>
        </is>
      </c>
      <c r="D41" s="11" t="inlineStr">
        <is>
          <t>条
Đoạn</t>
        </is>
      </c>
      <c r="E41" s="36" t="n">
        <v>18</v>
      </c>
      <c r="F41" s="15" t="n"/>
      <c r="G41" s="15" t="n"/>
      <c r="H41" s="15">
        <f>F41+G41</f>
        <v/>
      </c>
      <c r="I41" s="13">
        <f>E41*H41</f>
        <v/>
      </c>
      <c r="J41" s="35" t="inlineStr">
        <is>
          <t>国产优质
Hàng sản xuất trong nước chất lượng cao</t>
        </is>
      </c>
    </row>
    <row r="42" ht="120" customHeight="1">
      <c r="A42" s="11" t="n">
        <v>34</v>
      </c>
      <c r="B42" s="12" t="inlineStr">
        <is>
          <t>纤维织物风管
Ống gió vải sợi</t>
        </is>
      </c>
      <c r="C42" s="35" t="inlineStr">
        <is>
          <t>1.名称:纤维织物风管
1. Tên: Ống gió vải sợi
2.形状:圆形
2. Hình dạng: Hình tròn
3.规格:φ750，长度14m
3. Quy cách: φ750, chiều dài 14m
4.含挂钩、挂环、内支撑等
4. Gồm móc treo, vòng treo, khung đỡ bên trong, v.v.
5.其他:符合设计图纸及施工规范要求
5. Khác: Phù hợp yêu cầu của bản vẽ thiết kế và quy phạm thi công</t>
        </is>
      </c>
      <c r="D42" s="11" t="inlineStr">
        <is>
          <t>条
Đoạn</t>
        </is>
      </c>
      <c r="E42" s="36" t="n">
        <v>6</v>
      </c>
      <c r="F42" s="15" t="n"/>
      <c r="G42" s="15" t="n"/>
      <c r="H42" s="15">
        <f>F42+G42</f>
        <v/>
      </c>
      <c r="I42" s="13">
        <f>E42*H42</f>
        <v/>
      </c>
      <c r="J42" s="35" t="inlineStr">
        <is>
          <t>国产优质
Hàng sản xuất trong nước chất lượng cao</t>
        </is>
      </c>
    </row>
    <row r="43" ht="120" customHeight="1">
      <c r="A43" s="11" t="n">
        <v>35</v>
      </c>
      <c r="B43" s="12" t="inlineStr">
        <is>
          <t>纤维织物风管
Ống gió vải sợi</t>
        </is>
      </c>
      <c r="C43" s="35" t="inlineStr">
        <is>
          <t>1.名称:纤维织物风管
1. Tên: Ống gió vải sợi
2.形状:圆形
2. Hình dạng: Hình tròn
3.规格:φ600，长度15m
3. Quy cách: φ600, chiều dài 15m
4.含挂钩、挂环、内支撑等
4. Gồm móc treo, vòng treo, khung đỡ bên trong, v.v.
5.其他:符合设计图纸及施工规范要求
5. Khác: Phù hợp yêu cầu của bản vẽ thiết kế và quy phạm thi công</t>
        </is>
      </c>
      <c r="D43" s="11" t="inlineStr">
        <is>
          <t>条
Đoạn</t>
        </is>
      </c>
      <c r="E43" s="36" t="n">
        <v>18</v>
      </c>
      <c r="F43" s="15" t="n"/>
      <c r="G43" s="15" t="n"/>
      <c r="H43" s="15">
        <f>F43+G43</f>
        <v/>
      </c>
      <c r="I43" s="13">
        <f>E43*H43</f>
        <v/>
      </c>
      <c r="J43" s="35" t="inlineStr">
        <is>
          <t>国产优质
Hàng sản xuất trong nước chất lượng cao</t>
        </is>
      </c>
    </row>
    <row r="44" ht="120" customHeight="1">
      <c r="A44" s="11" t="n">
        <v>36</v>
      </c>
      <c r="B44" s="12" t="inlineStr">
        <is>
          <t>纤维织物风管
Ống gió vải sợi</t>
        </is>
      </c>
      <c r="C44" s="35" t="inlineStr">
        <is>
          <t>1.名称:纤维织物风管
1. Tên: Ống gió vải sợi
2.形状:圆形
2. Hình dạng: Hình tròn
3.规格:φ600，长度13m
3. Quy cách: φ600, chiều dài 13m
4.含挂钩、挂环、内支撑等
4. Gồm móc treo, vòng treo, khung đỡ bên trong, v.v.
5.其他:符合设计图纸及施工规范要求
5. Khác: Phù hợp yêu cầu của bản vẽ thiết kế và quy phạm thi công</t>
        </is>
      </c>
      <c r="D44" s="11" t="inlineStr">
        <is>
          <t>条
Đoạn</t>
        </is>
      </c>
      <c r="E44" s="36" t="n">
        <v>44</v>
      </c>
      <c r="F44" s="15" t="n"/>
      <c r="G44" s="15" t="n"/>
      <c r="H44" s="15">
        <f>F44+G44</f>
        <v/>
      </c>
      <c r="I44" s="13">
        <f>E44*H44</f>
        <v/>
      </c>
      <c r="J44" s="35" t="inlineStr">
        <is>
          <t>国产优质
Hàng sản xuất trong nước chất lượng cao</t>
        </is>
      </c>
    </row>
    <row r="45" ht="120" customHeight="1">
      <c r="A45" s="11" t="n">
        <v>37</v>
      </c>
      <c r="B45" s="12" t="inlineStr">
        <is>
          <t>纤维织物风管
Ống gió vải sợi</t>
        </is>
      </c>
      <c r="C45" s="35" t="inlineStr">
        <is>
          <t>1.名称:纤维织物风管
1. Tên: Ống gió vải sợi
2.形状:圆形
2. Hình dạng: Hình tròn
3.规格:φ600，长度12m
3. Quy cách: φ600, chiều dài 12m
4.含挂钩、挂环、内支撑等
4. Gồm móc treo, vòng treo, khung đỡ bên trong, v.v.
5.其他:符合设计图纸及施工规范要求
5. Khác: Phù hợp yêu cầu của bản vẽ thiết kế và quy phạm thi công</t>
        </is>
      </c>
      <c r="D45" s="11" t="inlineStr">
        <is>
          <t>条
Đoạn</t>
        </is>
      </c>
      <c r="E45" s="36" t="n">
        <v>6</v>
      </c>
      <c r="F45" s="15" t="n"/>
      <c r="G45" s="15" t="n"/>
      <c r="H45" s="15">
        <f>F45+G45</f>
        <v/>
      </c>
      <c r="I45" s="13">
        <f>E45*H45</f>
        <v/>
      </c>
      <c r="J45" s="35" t="inlineStr">
        <is>
          <t>国产优质
Hàng sản xuất trong nước chất lượng cao</t>
        </is>
      </c>
    </row>
    <row r="46" ht="97" customHeight="1">
      <c r="A46" s="11" t="n">
        <v>38</v>
      </c>
      <c r="B46" s="12" t="inlineStr">
        <is>
          <t>纤维织物风管变径头
Đầu chuyển tiết diện ống gió vải sợi</t>
        </is>
      </c>
      <c r="C46" s="35" t="inlineStr">
        <is>
          <t>1.名称:纤维织物风管变径头
1. Tên: Đầu chuyển tiết diện ống gió vải sợi
2.形状:圆形
2. Hình dạng: Hình tròn
3.规格:φ900-φ750，长度320mm
3. Quy cách: φ900-φ750, chiều dài 320mm
4.其他:符合设计图纸及施工规范要求
4. Khác: Phù hợp yêu cầu của bản vẽ thiết kế và quy phạm thi công</t>
        </is>
      </c>
      <c r="D46" s="11" t="inlineStr">
        <is>
          <t>个
Cái</t>
        </is>
      </c>
      <c r="E46" s="36" t="n">
        <v>68</v>
      </c>
      <c r="F46" s="15" t="n"/>
      <c r="G46" s="15" t="n"/>
      <c r="H46" s="15">
        <f>F46+G46</f>
        <v/>
      </c>
      <c r="I46" s="13">
        <f>E46*H46</f>
        <v/>
      </c>
      <c r="J46" s="35" t="inlineStr">
        <is>
          <t>国产优质
Hàng sản xuất trong nước chất lượng cao</t>
        </is>
      </c>
    </row>
    <row r="47" ht="97" customHeight="1">
      <c r="A47" s="11" t="n">
        <v>39</v>
      </c>
      <c r="B47" s="12" t="inlineStr">
        <is>
          <t>纤维织物风管变径头
Đầu chuyển tiết diện ống gió vải sợi</t>
        </is>
      </c>
      <c r="C47" s="35" t="inlineStr">
        <is>
          <t>1.名称:纤维织物风管变径头
1. Tên: Đầu chuyển tiết diện ống gió vải sợi
2.形状:圆形
2. Hình dạng: Hình tròn
3.规格:φ750-φ600，长度320mm
3. Quy cách: φ750-φ600, chiều dài 320mm
4.其他:符合设计图纸及施工规范要求
4. Khác: Phù hợp yêu cầu của bản vẽ thiết kế và quy phạm thi công</t>
        </is>
      </c>
      <c r="D47" s="11" t="inlineStr">
        <is>
          <t>个
Cái</t>
        </is>
      </c>
      <c r="E47" s="36" t="n">
        <v>68</v>
      </c>
      <c r="F47" s="15" t="n"/>
      <c r="G47" s="15" t="n"/>
      <c r="H47" s="15">
        <f>F47+G47</f>
        <v/>
      </c>
      <c r="I47" s="13">
        <f>E47*H47</f>
        <v/>
      </c>
      <c r="J47" s="35" t="inlineStr">
        <is>
          <t>国产优质
Hàng sản xuất trong nước chất lượng cao</t>
        </is>
      </c>
    </row>
    <row r="48" ht="97" customHeight="1">
      <c r="A48" s="11" t="n">
        <v>40</v>
      </c>
      <c r="B48" s="12" t="inlineStr">
        <is>
          <t>纤维织物风管末端
Đầu cuối ống gió vải sợi</t>
        </is>
      </c>
      <c r="C48" s="35" t="inlineStr">
        <is>
          <t>1.名称:纤维织物风管末端
1. Tên: Đầu cuối ống gió vải sợi
2.形状:圆形
2. Hình dạng: Hình tròn
3.规格:φ600
3. Quy cách: φ600
4.其他:符合设计图纸及施工规范要求
4. Khác: Phù hợp yêu cầu của bản vẽ thiết kế và quy phạm thi công</t>
        </is>
      </c>
      <c r="D48" s="11" t="inlineStr">
        <is>
          <t>个
Cái</t>
        </is>
      </c>
      <c r="E48" s="36" t="n">
        <v>68</v>
      </c>
      <c r="F48" s="15" t="n"/>
      <c r="G48" s="15" t="n"/>
      <c r="H48" s="15">
        <f>F48+G48</f>
        <v/>
      </c>
      <c r="I48" s="13">
        <f>E48*H48</f>
        <v/>
      </c>
      <c r="J48" s="35" t="inlineStr">
        <is>
          <t>国产优质
Hàng sản xuất trong nước chất lượng cao</t>
        </is>
      </c>
    </row>
    <row r="49" ht="97" customHeight="1">
      <c r="A49" s="11" t="n">
        <v>41</v>
      </c>
      <c r="B49" s="12" t="inlineStr">
        <is>
          <t>纤维织物风管安装扎紧器
Bộ siết chặt lắp đặt ống gió vải sợi</t>
        </is>
      </c>
      <c r="C49" s="35" t="inlineStr">
        <is>
          <t>1.名称:纤维织物风管扎紧器
1. Tên: Bộ siết chặt ống gió vải sợi
2.形状:圆形
2. Hình dạng: Hình tròn
3.规格:φ900
3. Quy cách: φ900
4.其他:符合设计图纸及施工规范要求
4. Khác: Phù hợp yêu cầu của bản vẽ thiết kế và quy phạm thi công</t>
        </is>
      </c>
      <c r="D49" s="11" t="inlineStr">
        <is>
          <t>个
Cái</t>
        </is>
      </c>
      <c r="E49" s="36" t="n">
        <v>68</v>
      </c>
      <c r="F49" s="15" t="n"/>
      <c r="G49" s="15" t="n"/>
      <c r="H49" s="15">
        <f>F49+G49</f>
        <v/>
      </c>
      <c r="I49" s="13">
        <f>E49*H49</f>
        <v/>
      </c>
      <c r="J49" s="35" t="inlineStr">
        <is>
          <t>国产优质
Hàng sản xuất trong nước chất lượng cao</t>
        </is>
      </c>
    </row>
    <row r="50" ht="51" customHeight="1">
      <c r="A50" s="11" t="n">
        <v>42</v>
      </c>
      <c r="B50" s="12" t="inlineStr">
        <is>
          <t>纤维织物风管安装钢丝绳
Cáp thép lắp đặt ống gió vải sợi</t>
        </is>
      </c>
      <c r="C50" s="35" t="inlineStr">
        <is>
          <t>1.名称:钢丝绳
1. Tên: Cáp thép
2.其他:符合设计图纸及施工规范要求
2. Khác: Phù hợp yêu cầu của bản vẽ thiết kế và quy phạm thi công</t>
        </is>
      </c>
      <c r="D50" s="11" t="inlineStr">
        <is>
          <t>m</t>
        </is>
      </c>
      <c r="E50" s="36" t="n">
        <v>7836</v>
      </c>
      <c r="F50" s="15" t="n"/>
      <c r="G50" s="15" t="n"/>
      <c r="H50" s="15">
        <f>F50+G50</f>
        <v/>
      </c>
      <c r="I50" s="13">
        <f>E50*H50</f>
        <v/>
      </c>
      <c r="J50" s="35" t="inlineStr">
        <is>
          <t>国产优质
Hàng sản xuất trong nước chất lượng cao</t>
        </is>
      </c>
    </row>
    <row r="51" ht="97" customHeight="1">
      <c r="A51" s="11" t="n">
        <v>43</v>
      </c>
      <c r="B51" s="12" t="inlineStr">
        <is>
          <t>双层送风百叶
Miệng gió cấp nan đôi (hai lớp)</t>
        </is>
      </c>
      <c r="C51" s="35" t="inlineStr">
        <is>
          <t>1.名称:双层送风百叶
1. Tên: Miệng gió cấp nan đôi (hai lớp)
2.规格:内径630*320
2. Quy cách: Kích thước trong 630*320
3.材质:铝合金
3. Vật liệu: Hợp kim nhôm
4.其他:符合设计图纸及施工规范要求
4. Khác: Phù hợp yêu cầu của bản vẽ thiết kế và quy phạm thi công</t>
        </is>
      </c>
      <c r="D51" s="11" t="inlineStr">
        <is>
          <t>个
Cái</t>
        </is>
      </c>
      <c r="E51" s="36" t="n">
        <v>480</v>
      </c>
      <c r="F51" s="15" t="n"/>
      <c r="G51" s="15" t="n"/>
      <c r="H51" s="15">
        <f>F51+G51</f>
        <v/>
      </c>
      <c r="I51" s="13">
        <f>E51*H51</f>
        <v/>
      </c>
      <c r="J51" s="35" t="inlineStr">
        <is>
          <t>国产优质
Hàng sản xuất trong nước chất lượng cao</t>
        </is>
      </c>
    </row>
    <row r="52" ht="97" customHeight="1">
      <c r="A52" s="11" t="n">
        <v>44</v>
      </c>
      <c r="B52" s="12" t="inlineStr">
        <is>
          <t>门铰式回风百叶
Miệng gió hồi kiểu cửa bản lề</t>
        </is>
      </c>
      <c r="C52" s="35" t="inlineStr">
        <is>
          <t>1.名称:门铰式回风百叶
1. Tên: Miệng gió hồi kiểu cửa bản lề
2.规格:面径400*1200
2. Quy cách: Kích thước mặt 400*1200
3.材质:铝合金
3. Vật liệu: Hợp kim nhôm
4.其他:符合设计图纸及施工规范要求
4. Khác: Phù hợp yêu cầu của bản vẽ thiết kế và quy phạm thi công</t>
        </is>
      </c>
      <c r="D52" s="11" t="inlineStr">
        <is>
          <t>个
Cái</t>
        </is>
      </c>
      <c r="E52" s="36" t="n">
        <v>240</v>
      </c>
      <c r="F52" s="15" t="n"/>
      <c r="G52" s="15" t="n"/>
      <c r="H52" s="15">
        <f>F52+G52</f>
        <v/>
      </c>
      <c r="I52" s="13">
        <f>E52*H52</f>
        <v/>
      </c>
      <c r="J52" s="35" t="inlineStr">
        <is>
          <t>国产优质
Hàng sản xuất trong nước chất lượng cao</t>
        </is>
      </c>
    </row>
    <row r="53" ht="97" customHeight="1">
      <c r="A53" s="11" t="n">
        <v>45</v>
      </c>
      <c r="B53" s="12" t="inlineStr">
        <is>
          <t>防雨百叶
Louver chống mưa</t>
        </is>
      </c>
      <c r="C53" s="35" t="inlineStr">
        <is>
          <t>1.名称:防雨百叶
1. Tên: Louver chống mưa
2.规格:内径1600*800
2. Quy cách: Kích thước trong 1600*800
3.材质:铝合金
3. Vật liệu: Hợp kim nhôm
4.其他:符合设计图纸及施工规范要求
4. Khác: Phù hợp yêu cầu của bản vẽ thiết kế và quy phạm thi công</t>
        </is>
      </c>
      <c r="D53" s="11" t="inlineStr">
        <is>
          <t>个
Cái</t>
        </is>
      </c>
      <c r="E53" s="36" t="n">
        <v>16</v>
      </c>
      <c r="F53" s="15" t="n"/>
      <c r="G53" s="15" t="n"/>
      <c r="H53" s="15">
        <f>F53+G53</f>
        <v/>
      </c>
      <c r="I53" s="13">
        <f>E53*H53</f>
        <v/>
      </c>
      <c r="J53" s="35" t="inlineStr">
        <is>
          <t>国产优质
Hàng sản xuất trong nước chất lượng cao</t>
        </is>
      </c>
    </row>
    <row r="54" ht="97" customHeight="1">
      <c r="A54" s="11" t="n">
        <v>46</v>
      </c>
      <c r="B54" s="12" t="inlineStr">
        <is>
          <t>防雨百叶
Louver chống mưa</t>
        </is>
      </c>
      <c r="C54" s="35" t="inlineStr">
        <is>
          <t>1.名称:防雨百叶
1. Tên: Louver chống mưa
2.规格:内径1600*500
2. Quy cách: Kích thước trong 1600*500
3.材质:铝合金
3. Vật liệu: Hợp kim nhôm
4.其他:符合设计图纸及施工规范要求
4. Khác: Phù hợp yêu cầu của bản vẽ thiết kế và quy phạm thi công</t>
        </is>
      </c>
      <c r="D54" s="11" t="inlineStr">
        <is>
          <t>个
Cái</t>
        </is>
      </c>
      <c r="E54" s="36" t="n">
        <v>6</v>
      </c>
      <c r="F54" s="15" t="n"/>
      <c r="G54" s="15" t="n"/>
      <c r="H54" s="15">
        <f>F54+G54</f>
        <v/>
      </c>
      <c r="I54" s="13">
        <f>E54*H54</f>
        <v/>
      </c>
      <c r="J54" s="35" t="inlineStr">
        <is>
          <t>国产优质
Hàng sản xuất trong nước chất lượng cao</t>
        </is>
      </c>
    </row>
    <row r="55" ht="97" customHeight="1">
      <c r="A55" s="11" t="n">
        <v>47</v>
      </c>
      <c r="B55" s="12" t="inlineStr">
        <is>
          <t>70℃防火阀
Van chặn lửa 70℃</t>
        </is>
      </c>
      <c r="C55" s="35" t="inlineStr">
        <is>
          <t>1.名称:70℃防火阀
1. Tên: Van chặn lửa 70℃
2.规格:1000*800
2. Quy cách: 1000*800
3.材质:碳钢
3. Vật liệu: Thép cacbon
4.其他:符合设计图纸及施工规范要求
4. Khác: Phù hợp yêu cầu của bản vẽ thiết kế và quy phạm thi công</t>
        </is>
      </c>
      <c r="D55" s="11" t="inlineStr">
        <is>
          <t>个
Cái</t>
        </is>
      </c>
      <c r="E55" s="36" t="n">
        <v>1</v>
      </c>
      <c r="F55" s="15" t="n"/>
      <c r="G55" s="15" t="n"/>
      <c r="H55" s="15">
        <f>F55+G55</f>
        <v/>
      </c>
      <c r="I55" s="13">
        <f>E55*H55</f>
        <v/>
      </c>
      <c r="J55" s="35" t="inlineStr">
        <is>
          <t>国产优质
Hàng sản xuất trong nước chất lượng cao</t>
        </is>
      </c>
    </row>
    <row r="56" ht="97" customHeight="1">
      <c r="A56" s="11" t="n">
        <v>48</v>
      </c>
      <c r="B56" s="12" t="inlineStr">
        <is>
          <t>70℃防火阀
Van chặn lửa 70℃</t>
        </is>
      </c>
      <c r="C56" s="35" t="inlineStr">
        <is>
          <t>1.名称:70℃防火阀
1. Tên: Van chặn lửa 70℃
2.规格:1000*500
2. Quy cách: 1000*500
3.材质:碳钢
3. Vật liệu: Thép cacbon
4.其他:符合设计图纸及施工规范要求
4. Khác: Phù hợp yêu cầu của bản vẽ thiết kế và quy phạm thi công</t>
        </is>
      </c>
      <c r="D56" s="11" t="inlineStr">
        <is>
          <t>个
Cái</t>
        </is>
      </c>
      <c r="E56" s="36" t="n">
        <v>6</v>
      </c>
      <c r="F56" s="15" t="n"/>
      <c r="G56" s="15" t="n"/>
      <c r="H56" s="15">
        <f>F56+G56</f>
        <v/>
      </c>
      <c r="I56" s="13">
        <f>E56*H56</f>
        <v/>
      </c>
      <c r="J56" s="35" t="inlineStr">
        <is>
          <t>国产优质
Hàng sản xuất trong nước chất lượng cao</t>
        </is>
      </c>
    </row>
    <row r="57" ht="97" customHeight="1">
      <c r="A57" s="11" t="n">
        <v>49</v>
      </c>
      <c r="B57" s="12" t="inlineStr">
        <is>
          <t>手动对开多叶调节阀
Van điều chỉnh gió đa lá mở ngược chiều bằng tay</t>
        </is>
      </c>
      <c r="C57" s="35" t="inlineStr">
        <is>
          <t>1.名称:手动对开多叶调节阀
1. Tên: Van điều chỉnh gió đa lá mở ngược chiều bằng tay
2.规格:1600*800
2. Quy cách: 1600*800
3.材质:碳钢
3. Vật liệu: Thép cacbon
4.其他:符合设计图纸及施工规范要求
4. Khác: Phù hợp yêu cầu của bản vẽ thiết kế và quy phạm thi công</t>
        </is>
      </c>
      <c r="D57" s="11" t="inlineStr">
        <is>
          <t>个
Cái</t>
        </is>
      </c>
      <c r="E57" s="36" t="n">
        <v>10</v>
      </c>
      <c r="F57" s="15" t="n"/>
      <c r="G57" s="15" t="n"/>
      <c r="H57" s="15">
        <f>F57+G57</f>
        <v/>
      </c>
      <c r="I57" s="13">
        <f>E57*H57</f>
        <v/>
      </c>
      <c r="J57" s="35" t="inlineStr">
        <is>
          <t>国产优质
Hàng sản xuất trong nước chất lượng cao</t>
        </is>
      </c>
    </row>
    <row r="58" ht="97" customHeight="1">
      <c r="A58" s="11" t="n">
        <v>50</v>
      </c>
      <c r="B58" s="12" t="inlineStr">
        <is>
          <t>手动对开多叶调节阀
Van điều chỉnh gió đa lá mở ngược chiều bằng tay</t>
        </is>
      </c>
      <c r="C58" s="35" t="inlineStr">
        <is>
          <t>1.名称:手动对开多叶调节阀
1. Tên: Van điều chỉnh gió đa lá mở ngược chiều bằng tay
2.规格:1100*800
2. Quy cách: 1100*800
3.材质:碳钢
3. Vật liệu: Thép cacbon
4.其他:符合设计图纸及施工规范要求
4. Khác: Phù hợp yêu cầu của bản vẽ thiết kế và quy phạm thi công</t>
        </is>
      </c>
      <c r="D58" s="11" t="inlineStr">
        <is>
          <t>个
Cái</t>
        </is>
      </c>
      <c r="E58" s="36" t="n">
        <v>48</v>
      </c>
      <c r="F58" s="15" t="n"/>
      <c r="G58" s="15" t="n"/>
      <c r="H58" s="15">
        <f>F58+G58</f>
        <v/>
      </c>
      <c r="I58" s="13">
        <f>E58*H58</f>
        <v/>
      </c>
      <c r="J58" s="35" t="inlineStr">
        <is>
          <t>国产优质
Hàng sản xuất trong nước chất lượng cao</t>
        </is>
      </c>
    </row>
    <row r="59" ht="97" customHeight="1">
      <c r="A59" s="11" t="n">
        <v>51</v>
      </c>
      <c r="B59" s="12" t="inlineStr">
        <is>
          <t>手动对开多叶调节阀
Van điều chỉnh gió đa lá mở ngược chiều bằng tay</t>
        </is>
      </c>
      <c r="C59" s="35" t="inlineStr">
        <is>
          <t>1.名称:手动对开多叶调节阀
1. Tên: Van điều chỉnh gió đa lá mở ngược chiều bằng tay
2.规格:1000*500
2. Quy cách: 1000*500
3.材质:碳钢
3. Vật liệu: Thép cacbon
4.其他:符合设计图纸及施工规范要求
4. Khác: Phù hợp yêu cầu của bản vẽ thiết kế và quy phạm thi công</t>
        </is>
      </c>
      <c r="D59" s="11" t="inlineStr">
        <is>
          <t>个
Cái</t>
        </is>
      </c>
      <c r="E59" s="36" t="n">
        <v>110</v>
      </c>
      <c r="F59" s="15" t="n"/>
      <c r="G59" s="15" t="n"/>
      <c r="H59" s="15">
        <f>F59+G59</f>
        <v/>
      </c>
      <c r="I59" s="13">
        <f>E59*H59</f>
        <v/>
      </c>
      <c r="J59" s="35" t="inlineStr">
        <is>
          <t>国产优质
Hàng sản xuất trong nước chất lượng cao</t>
        </is>
      </c>
    </row>
    <row r="60" ht="97" customHeight="1">
      <c r="A60" s="11" t="n">
        <v>52</v>
      </c>
      <c r="B60" s="12" t="inlineStr">
        <is>
          <t>手动对开多叶调节阀
Van điều chỉnh gió đa lá mở ngược chiều bằng tay</t>
        </is>
      </c>
      <c r="C60" s="35" t="inlineStr">
        <is>
          <t>1.名称:手动对开多叶调节阀
1. Tên: Van điều chỉnh gió đa lá mở ngược chiều bằng tay
2.规格:800*400
2. Quy cách: 800*400
3.材质:碳钢
3. Vật liệu: Thép cacbon
4.其他:符合设计图纸及施工规范要求
4. Khác: Phù hợp yêu cầu của bản vẽ thiết kế và quy phạm thi công</t>
        </is>
      </c>
      <c r="D60" s="11" t="inlineStr">
        <is>
          <t>个
Cái</t>
        </is>
      </c>
      <c r="E60" s="36" t="n">
        <v>20</v>
      </c>
      <c r="F60" s="15" t="n"/>
      <c r="G60" s="15" t="n"/>
      <c r="H60" s="15">
        <f>F60+G60</f>
        <v/>
      </c>
      <c r="I60" s="13">
        <f>E60*H60</f>
        <v/>
      </c>
      <c r="J60" s="35" t="inlineStr">
        <is>
          <t>国产优质
Hàng sản xuất trong nước chất lượng cao</t>
        </is>
      </c>
    </row>
    <row r="61" ht="97" customHeight="1">
      <c r="A61" s="11" t="n">
        <v>53</v>
      </c>
      <c r="B61" s="12" t="inlineStr">
        <is>
          <t>手动对开多叶调节阀
Van điều chỉnh gió đa lá mở ngược chiều bằng tay</t>
        </is>
      </c>
      <c r="C61" s="35" t="inlineStr">
        <is>
          <t>1.名称:手动对开多叶调节阀
1. Tên: Van điều chỉnh gió đa lá mở ngược chiều bằng tay
2.规格:630*320
2. Quy cách: 630*320
3.材质:碳钢
3. Vật liệu: Thép cacbon
4.其他:符合设计图纸及施工规范要求
4. Khác: Phù hợp yêu cầu của bản vẽ thiết kế và quy phạm thi công</t>
        </is>
      </c>
      <c r="D61" s="11" t="inlineStr">
        <is>
          <t>个
Cái</t>
        </is>
      </c>
      <c r="E61" s="36" t="n">
        <v>480</v>
      </c>
      <c r="F61" s="15" t="n"/>
      <c r="G61" s="15" t="n"/>
      <c r="H61" s="15">
        <f>F61+G61</f>
        <v/>
      </c>
      <c r="I61" s="13">
        <f>E61*H61</f>
        <v/>
      </c>
      <c r="J61" s="35" t="inlineStr">
        <is>
          <t>国产优质
Hàng sản xuất trong nước chất lượng cao</t>
        </is>
      </c>
    </row>
    <row r="62" ht="97" customHeight="1">
      <c r="A62" s="11" t="n">
        <v>54</v>
      </c>
      <c r="B62" s="12" t="inlineStr">
        <is>
          <t>手动对开多叶调节阀
Van điều chỉnh gió đa lá mở ngược chiều bằng tay</t>
        </is>
      </c>
      <c r="C62" s="35" t="inlineStr">
        <is>
          <t>1.名称:手动对开多叶调节阀
1. Tên: Van điều chỉnh gió đa lá mở ngược chiều bằng tay
2.规格:500*500
2. Quy cách: 500*500
3.材质:碳钢
3. Vật liệu: Thép cacbon
4.其他:符合设计图纸及施工规范要求
4. Khác: Phù hợp yêu cầu của bản vẽ thiết kế và quy phạm thi công</t>
        </is>
      </c>
      <c r="D62" s="11" t="inlineStr">
        <is>
          <t>个
Cái</t>
        </is>
      </c>
      <c r="E62" s="36" t="n">
        <v>20</v>
      </c>
      <c r="F62" s="15" t="n"/>
      <c r="G62" s="15" t="n"/>
      <c r="H62" s="15">
        <f>F62+G62</f>
        <v/>
      </c>
      <c r="I62" s="13">
        <f>E62*H62</f>
        <v/>
      </c>
      <c r="J62" s="35" t="inlineStr">
        <is>
          <t>国产优质
Hàng sản xuất trong nước chất lượng cao</t>
        </is>
      </c>
    </row>
    <row r="63" ht="74" customHeight="1">
      <c r="A63" s="11" t="n">
        <v>55</v>
      </c>
      <c r="B63" s="12" t="inlineStr">
        <is>
          <t>软接头
Khớp nối mềm</t>
        </is>
      </c>
      <c r="C63" s="35" t="inlineStr">
        <is>
          <t>1.名称:软接头
1. Tên: Khớp nối mềm
2.材质:帆布
2. Vật liệu: Vải bạt
3.其他:符合设计图纸及施工规范要求
3. Khác: Phù hợp yêu cầu của bản vẽ thiết kế và quy phạm thi công</t>
        </is>
      </c>
      <c r="D63" s="11" t="inlineStr">
        <is>
          <t>㎡</t>
        </is>
      </c>
      <c r="E63" s="40" t="n">
        <v>158.5</v>
      </c>
      <c r="F63" s="15" t="n"/>
      <c r="G63" s="15" t="n"/>
      <c r="H63" s="15">
        <f>F63+G63</f>
        <v/>
      </c>
      <c r="I63" s="13">
        <f>E63*H63</f>
        <v/>
      </c>
      <c r="J63" s="35" t="inlineStr">
        <is>
          <t>国产优质
Hàng sản xuất trong nước chất lượng cao</t>
        </is>
      </c>
    </row>
    <row r="64" ht="39.5" customHeight="1">
      <c r="A64" s="11" t="n">
        <v>56</v>
      </c>
      <c r="B64" s="12" t="inlineStr">
        <is>
          <t>通风工程检测、调试
Kiểm tra, chạy thử công trình thông gió</t>
        </is>
      </c>
      <c r="C64" s="35" t="inlineStr">
        <is>
          <t>空调风工程系统调试
Chạy thử hệ thống công trình gió điều hòa</t>
        </is>
      </c>
      <c r="D64" s="11" t="inlineStr">
        <is>
          <t>系统
Hệ thống</t>
        </is>
      </c>
      <c r="E64" s="36" t="n">
        <v>1</v>
      </c>
      <c r="F64" s="15" t="n"/>
      <c r="G64" s="15" t="n"/>
      <c r="H64" s="15">
        <f>F64+G64</f>
        <v/>
      </c>
      <c r="I64" s="13">
        <f>E64*H64</f>
        <v/>
      </c>
      <c r="J64" s="35" t="n"/>
    </row>
    <row r="65">
      <c r="A65" s="37" t="n"/>
      <c r="B65" s="38" t="inlineStr">
        <is>
          <t>小计 / Cộng</t>
        </is>
      </c>
      <c r="C65" s="37" t="n"/>
      <c r="D65" s="37" t="n"/>
      <c r="E65" s="37" t="n"/>
      <c r="F65" s="37" t="n"/>
      <c r="G65" s="37" t="n"/>
      <c r="H65" s="37" t="n"/>
      <c r="I65" s="39">
        <f>SUM(I26:I64)</f>
        <v/>
      </c>
      <c r="J65" s="37" t="n"/>
    </row>
    <row r="66" ht="28" customHeight="1">
      <c r="A66" s="33" t="inlineStr">
        <is>
          <t>三、
III.</t>
        </is>
      </c>
      <c r="B66" s="34" t="inlineStr">
        <is>
          <t>空调水系统 / Hệ thống nước điều hòa</t>
        </is>
      </c>
      <c r="C66" s="34" t="n"/>
      <c r="D66" s="34" t="n"/>
      <c r="E66" s="34" t="n"/>
      <c r="F66" s="34" t="n"/>
      <c r="G66" s="34" t="n"/>
      <c r="H66" s="34" t="n"/>
      <c r="I66" s="34" t="n"/>
      <c r="J66" s="34" t="n"/>
    </row>
    <row r="67" ht="235" customHeight="1">
      <c r="A67" s="11" t="n">
        <v>57</v>
      </c>
      <c r="B67" s="12" t="inlineStr">
        <is>
          <t>热镀锌螺旋钢管
Ống thép xoắn mạ kẽm nhúng nóng</t>
        </is>
      </c>
      <c r="C67" s="35" t="inlineStr">
        <is>
          <t>1.安装部位:室内
1. Vị trí lắp đặt: Trong nhà
2.介质:冷冻水
2. Môi chất: Nước lạnh
3.材质:热镀锌螺旋钢管
3. Vật liệu: Ống thép xoắn mạ kẽm nhúng nóng
4.规格:DN350*7
4. Quy cách: DN350*7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8.保温层:难燃(B1级)柔性泡沫橡塑δ=50mm
8. Lớp bảo ôn: Cao su-nhựa xốp mềm khó cháy (cấp B1) δ=50mm
9.含连接管件
9. Gồm phụ kiện nối ống
10.其他:符合设计图纸以及施工规范要求
10. Khác: Phù hợp yêu cầu của bản vẽ thiết kế và quy phạm thi công</t>
        </is>
      </c>
      <c r="D67" s="11" t="inlineStr">
        <is>
          <t>m</t>
        </is>
      </c>
      <c r="E67" s="36" t="n">
        <v>54</v>
      </c>
      <c r="F67" s="15" t="n"/>
      <c r="G67" s="15" t="n"/>
      <c r="H67" s="15">
        <f>F67+G67</f>
        <v/>
      </c>
      <c r="I67" s="13">
        <f>E67*H67</f>
        <v/>
      </c>
      <c r="J67" s="35" t="inlineStr">
        <is>
          <t>钢管：国产优质
Ống thép: Hàng sản xuất trong nước chất lượng cao
保温：Ord,贝柠、华美、派柏士
Bảo ôn: Ord, Beining (贝柠), Huamei (华美), Paibaishi (派柏士)</t>
        </is>
      </c>
    </row>
    <row r="68" ht="235" customHeight="1">
      <c r="A68" s="11" t="n">
        <v>58</v>
      </c>
      <c r="B68" s="12" t="inlineStr">
        <is>
          <t>热镀锌钢管
Ống thép mạ kẽm nhúng nóng</t>
        </is>
      </c>
      <c r="C68" s="35" t="inlineStr">
        <is>
          <t>1.安装部位:室内
1. Vị trí lắp đặt: Trong nhà
2.介质:冷冻水
2. Môi chất: Nước lạnh
3.材质:热镀锌钢管
3. Vật liệu: Ống thép mạ kẽm nhúng nóng
4.规格:DN300*6.0
4. Quy cách: DN300*6.0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8.保温层:难燃(B1级)柔性泡沫橡塑δ=50mm
8. Lớp bảo ôn: Cao su-nhựa xốp mềm khó cháy (cấp B1) δ=50mm
9.含连接管件
9. Gồm phụ kiện nối ống
10.其他:符合设计图纸以及施工规范要求
10. Khác: Phù hợp yêu cầu của bản vẽ thiết kế và quy phạm thi công</t>
        </is>
      </c>
      <c r="D68" s="11" t="inlineStr">
        <is>
          <t>m</t>
        </is>
      </c>
      <c r="E68" s="36" t="n">
        <v>282</v>
      </c>
      <c r="F68" s="15" t="n"/>
      <c r="G68" s="15" t="n"/>
      <c r="H68" s="15">
        <f>F68+G68</f>
        <v/>
      </c>
      <c r="I68" s="13">
        <f>E68*H68</f>
        <v/>
      </c>
      <c r="J68" s="35" t="inlineStr">
        <is>
          <t>钢管：振鸿、广岐、华岐、友发、南粤
Ống thép: Zhenhong (振鸿), Guangqi (广岐), Huaqi (华岐), Youfa (友发), Nanyue (南粤)
保温：Ord,贝柠、华美、派柏士
Bảo ôn: Ord, Beining (贝柠), Huamei (华美), Paibaishi (派柏士)</t>
        </is>
      </c>
    </row>
    <row r="69" ht="235" customHeight="1">
      <c r="A69" s="11" t="n">
        <v>59</v>
      </c>
      <c r="B69" s="12" t="inlineStr">
        <is>
          <t>热镀锌钢管
Ống thép mạ kẽm nhúng nóng</t>
        </is>
      </c>
      <c r="C69" s="35" t="inlineStr">
        <is>
          <t>1.安装部位:室内
1. Vị trí lắp đặt: Trong nhà
2.介质:冷冻水
2. Môi chất: Nước lạnh
3.材质:热镀锌钢管
3. Vật liệu: Ống thép mạ kẽm nhúng nóng
4.规格:DN250*6.0
4. Quy cách: DN250*6.0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8.保温层:难燃(B1级)柔性泡沫橡塑δ=50mm
8. Lớp bảo ôn: Cao su-nhựa xốp mềm khó cháy (cấp B1) δ=50mm
9.含连接管件
9. Gồm phụ kiện nối ống
10.其他:符合设计图纸以及施工规范要求
10. Khác: Phù hợp yêu cầu của bản vẽ thiết kế và quy phạm thi công</t>
        </is>
      </c>
      <c r="D69" s="11" t="inlineStr">
        <is>
          <t>m</t>
        </is>
      </c>
      <c r="E69" s="36" t="n">
        <v>792</v>
      </c>
      <c r="F69" s="15" t="n"/>
      <c r="G69" s="15" t="n"/>
      <c r="H69" s="15">
        <f>F69+G69</f>
        <v/>
      </c>
      <c r="I69" s="13">
        <f>E69*H69</f>
        <v/>
      </c>
      <c r="J69" s="35" t="inlineStr">
        <is>
          <t>钢管：振鸿、广岐、华岐、友发、南粤
Ống thép: Zhenhong (振鸿), Guangqi (广岐), Huaqi (华岐), Youfa (友发), Nanyue (南粤)
保温：Ord,贝柠、华美、派柏士
Bảo ôn: Ord, Beining (贝柠), Huamei (华美), Paibaishi (派柏士)</t>
        </is>
      </c>
    </row>
    <row r="70" ht="235" customHeight="1">
      <c r="A70" s="11" t="n">
        <v>60</v>
      </c>
      <c r="B70" s="12" t="inlineStr">
        <is>
          <t>热镀锌钢管
Ống thép mạ kẽm nhúng nóng</t>
        </is>
      </c>
      <c r="C70" s="35" t="inlineStr">
        <is>
          <t>1.安装部位:室内
1. Vị trí lắp đặt: Trong nhà
2.介质:冷冻水
2. Môi chất: Nước lạnh
3.材质:热镀锌钢管
3. Vật liệu: Ống thép mạ kẽm nhúng nóng
4.规格:DN200*6.0
4. Quy cách: DN200*6.0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8.保温层:难燃(B1级)柔性泡沫橡塑δ=40mm
8. Lớp bảo ôn: Cao su-nhựa xốp mềm khó cháy (cấp B1) δ=40mm
9.含连接管件
9. Gồm phụ kiện nối ống
10.其他:符合设计图纸以及施工规范要求
10. Khác: Phù hợp yêu cầu của bản vẽ thiết kế và quy phạm thi công</t>
        </is>
      </c>
      <c r="D70" s="11" t="inlineStr">
        <is>
          <t>m</t>
        </is>
      </c>
      <c r="E70" s="36" t="n">
        <v>690</v>
      </c>
      <c r="F70" s="15" t="n"/>
      <c r="G70" s="15" t="n"/>
      <c r="H70" s="15">
        <f>F70+G70</f>
        <v/>
      </c>
      <c r="I70" s="13">
        <f>E70*H70</f>
        <v/>
      </c>
      <c r="J70" s="35" t="inlineStr">
        <is>
          <t>钢管：振鸿、广岐、华岐、友发、南粤
Ống thép: Zhenhong (振鸿), Guangqi (广岐), Huaqi (华岐), Youfa (友发), Nanyue (南粤)
保温：Ord,贝柠、华美、派柏士
Bảo ôn: Ord, Beining (贝柠), Huamei (华美), Paibaishi (派柏士)</t>
        </is>
      </c>
    </row>
    <row r="71" ht="235" customHeight="1">
      <c r="A71" s="11" t="n">
        <v>61</v>
      </c>
      <c r="B71" s="12" t="inlineStr">
        <is>
          <t>热镀锌钢管
Ống thép mạ kẽm nhúng nóng</t>
        </is>
      </c>
      <c r="C71" s="35" t="inlineStr">
        <is>
          <t>1.安装部位:室内
1. Vị trí lắp đặt: Trong nhà
2.介质:冷冻水
2. Môi chất: Nước lạnh
3.材质:热镀锌钢管
3. Vật liệu: Ống thép mạ kẽm nhúng nóng
4.规格:DN150*4.5
4. Quy cách: DN150*4.5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8.保温层:难燃(B1级)柔性泡沫橡塑δ=40mm
8. Lớp bảo ôn: Cao su-nhựa xốp mềm khó cháy (cấp B1) δ=40mm
9.含连接管件
9. Gồm phụ kiện nối ống
10.其他:符合设计图纸以及施工规范要求
10. Khác: Phù hợp yêu cầu của bản vẽ thiết kế và quy phạm thi công</t>
        </is>
      </c>
      <c r="D71" s="11" t="inlineStr">
        <is>
          <t>m</t>
        </is>
      </c>
      <c r="E71" s="36" t="n">
        <v>246</v>
      </c>
      <c r="F71" s="15" t="n"/>
      <c r="G71" s="15" t="n"/>
      <c r="H71" s="15">
        <f>F71+G71</f>
        <v/>
      </c>
      <c r="I71" s="13">
        <f>E71*H71</f>
        <v/>
      </c>
      <c r="J71" s="35" t="inlineStr">
        <is>
          <t>钢管：振鸿、广岐、华岐、友发、南粤
Ống thép: Zhenhong (振鸿), Guangqi (广岐), Huaqi (华岐), Youfa (友发), Nanyue (南粤)
保温：Ord,贝柠、华美、派柏士
Bảo ôn: Ord, Beining (贝柠), Huamei (华美), Paibaishi (派柏士)</t>
        </is>
      </c>
    </row>
    <row r="72" ht="235" customHeight="1">
      <c r="A72" s="11" t="n">
        <v>62</v>
      </c>
      <c r="B72" s="12" t="inlineStr">
        <is>
          <t>热镀锌钢管
Ống thép mạ kẽm nhúng nóng</t>
        </is>
      </c>
      <c r="C72" s="35" t="inlineStr">
        <is>
          <t>1.安装部位:室内
1. Vị trí lắp đặt: Trong nhà
2.介质:冷冻水
2. Môi chất: Nước lạnh
3.材质:热镀锌钢管
3. Vật liệu: Ống thép mạ kẽm nhúng nóng
4.规格:DN125*4.25
4. Quy cách: DN125*4.25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8.保温层:难燃(B1级)柔性泡沫橡塑δ=40mm
8. Lớp bảo ôn: Cao su-nhựa xốp mềm khó cháy (cấp B1) δ=40mm
9.含连接管件
9. Gồm phụ kiện nối ống
10.其他:符合设计图纸以及施工规范要求
10. Khác: Phù hợp yêu cầu của bản vẽ thiết kế và quy phạm thi công</t>
        </is>
      </c>
      <c r="D72" s="11" t="inlineStr">
        <is>
          <t>m</t>
        </is>
      </c>
      <c r="E72" s="36" t="n">
        <v>204</v>
      </c>
      <c r="F72" s="15" t="n"/>
      <c r="G72" s="15" t="n"/>
      <c r="H72" s="15">
        <f>F72+G72</f>
        <v/>
      </c>
      <c r="I72" s="13">
        <f>E72*H72</f>
        <v/>
      </c>
      <c r="J72" s="35" t="inlineStr">
        <is>
          <t>钢管：振鸿、广岐、华岐、友发、南粤
Ống thép: Zhenhong (振鸿), Guangqi (广岐), Huaqi (华岐), Youfa (友发), Nanyue (南粤)
保温：Ord,贝柠、华美、派柏士
Bảo ôn: Ord, Beining (贝柠), Huamei (华美), Paibaishi (派柏士)</t>
        </is>
      </c>
    </row>
    <row r="73" ht="235" customHeight="1">
      <c r="A73" s="11" t="n">
        <v>63</v>
      </c>
      <c r="B73" s="12" t="inlineStr">
        <is>
          <t>热镀锌钢管
Ống thép mạ kẽm nhúng nóng</t>
        </is>
      </c>
      <c r="C73" s="35" t="inlineStr">
        <is>
          <t>1.安装部位:室内
1. Vị trí lắp đặt: Trong nhà
2.介质:冷冻水
2. Môi chất: Nước lạnh
3.材质:热镀锌钢管
3. Vật liệu: Ống thép mạ kẽm nhúng nóng
4.规格:DN100*4.0
4. Quy cách: DN100*4.0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73" s="11" t="inlineStr">
        <is>
          <t>m</t>
        </is>
      </c>
      <c r="E73" s="36" t="n">
        <v>768</v>
      </c>
      <c r="F73" s="15" t="n"/>
      <c r="G73" s="15" t="n"/>
      <c r="H73" s="15">
        <f>F73+G73</f>
        <v/>
      </c>
      <c r="I73" s="13">
        <f>E73*H73</f>
        <v/>
      </c>
      <c r="J73" s="35" t="inlineStr">
        <is>
          <t>钢管：振鸿、广岐、华岐、友发、南粤
Ống thép: Zhenhong (振鸿), Guangqi (广岐), Huaqi (华岐), Youfa (友发), Nanyue (南粤)
保温：Ord,贝柠、华美、派柏士
Bảo ôn: Ord, Beining (贝柠), Huamei (华美), Paibaishi (派柏士)</t>
        </is>
      </c>
    </row>
    <row r="74" ht="235" customHeight="1">
      <c r="A74" s="11" t="n">
        <v>64</v>
      </c>
      <c r="B74" s="12" t="inlineStr">
        <is>
          <t>热镀锌钢管
Ống thép mạ kẽm nhúng nóng</t>
        </is>
      </c>
      <c r="C74" s="35" t="inlineStr">
        <is>
          <t>1.安装部位:室内
1. Vị trí lắp đặt: Trong nhà
2.介质:冷冻水
2. Môi chất: Nước lạnh
3.材质:热镀锌钢管
3. Vật liệu: Ống thép mạ kẽm nhúng nóng
4.规格:DN80*4.0
4. Quy cách: DN80*4.0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74" s="11" t="inlineStr">
        <is>
          <t>m</t>
        </is>
      </c>
      <c r="E74" s="36" t="n">
        <v>150</v>
      </c>
      <c r="F74" s="15" t="n"/>
      <c r="G74" s="15" t="n"/>
      <c r="H74" s="15">
        <f>F74+G74</f>
        <v/>
      </c>
      <c r="I74" s="13">
        <f>E74*H74</f>
        <v/>
      </c>
      <c r="J74" s="35" t="inlineStr">
        <is>
          <t>钢管：振鸿、广岐、华岐、友发、南粤
Ống thép: Zhenhong (振鸿), Guangqi (广岐), Huaqi (华岐), Youfa (友发), Nanyue (南粤)
保温：Ord,贝柠、华美、派柏士
Bảo ôn: Ord, Beining (贝柠), Huamei (华美), Paibaishi (派柏士)</t>
        </is>
      </c>
    </row>
    <row r="75" ht="235" customHeight="1">
      <c r="A75" s="11" t="n">
        <v>65</v>
      </c>
      <c r="B75" s="12" t="inlineStr">
        <is>
          <t>热镀锌钢管
Ống thép mạ kẽm nhúng nóng</t>
        </is>
      </c>
      <c r="C75" s="35" t="inlineStr">
        <is>
          <t>1.安装部位:室内
1. Vị trí lắp đặt: Trong nhà
2.介质:冷冻水
2. Môi chất: Nước lạnh
3.材质:热镀锌钢管
3. Vật liệu: Ống thép mạ kẽm nhúng nóng
4.规格:DN65*3.75
4. Quy cách: DN65*3.75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75" s="11" t="inlineStr">
        <is>
          <t>m</t>
        </is>
      </c>
      <c r="E75" s="36" t="n">
        <v>648</v>
      </c>
      <c r="F75" s="15" t="n"/>
      <c r="G75" s="15" t="n"/>
      <c r="H75" s="15">
        <f>F75+G75</f>
        <v/>
      </c>
      <c r="I75" s="13">
        <f>E75*H75</f>
        <v/>
      </c>
      <c r="J75" s="35" t="inlineStr">
        <is>
          <t>钢管：振鸿、广岐、华岐、友发、南粤
Ống thép: Zhenhong (振鸿), Guangqi (广岐), Huaqi (华岐), Youfa (友发), Nanyue (南粤)
保温：Ord,贝柠、华美、派柏士
Bảo ôn: Ord, Beining (贝柠), Huamei (华美), Paibaishi (派柏士)</t>
        </is>
      </c>
    </row>
    <row r="76" ht="235" customHeight="1">
      <c r="A76" s="11" t="n">
        <v>66</v>
      </c>
      <c r="B76" s="12" t="inlineStr">
        <is>
          <t>热镀锌钢管
Ống thép mạ kẽm nhúng nóng</t>
        </is>
      </c>
      <c r="C76" s="35" t="inlineStr">
        <is>
          <t>1.安装部位:室内
1. Vị trí lắp đặt: Trong nhà
2.介质:冷冻水
2. Môi chất: Nước lạnh
3.材质:热镀锌钢管
3. Vật liệu: Ống thép mạ kẽm nhúng nóng
4.规格:DN50*3.5
4. Quy cách: DN50*3.5
5.连接形式:螺纹连接
5. Hình thức kết nối: Nối ren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76" s="11" t="inlineStr">
        <is>
          <t>m</t>
        </is>
      </c>
      <c r="E76" s="36" t="n">
        <v>150</v>
      </c>
      <c r="F76" s="15" t="n"/>
      <c r="G76" s="15" t="n"/>
      <c r="H76" s="15">
        <f>F76+G76</f>
        <v/>
      </c>
      <c r="I76" s="13">
        <f>E76*H76</f>
        <v/>
      </c>
      <c r="J76" s="35" t="inlineStr">
        <is>
          <t>钢管：振鸿、广岐、华岐、友发、南粤
Ống thép: Zhenhong (振鸿), Guangqi (广岐), Huaqi (华岐), Youfa (友发), Nanyue (南粤)
保温：Ord,贝柠、华美、派柏士
Bảo ôn: Ord, Beining (贝柠), Huamei (华美), Paibaishi (派柏士)</t>
        </is>
      </c>
    </row>
    <row r="77" ht="235" customHeight="1">
      <c r="A77" s="11" t="n">
        <v>67</v>
      </c>
      <c r="B77" s="12" t="inlineStr">
        <is>
          <t>热镀锌钢管
Ống thép mạ kẽm nhúng nóng</t>
        </is>
      </c>
      <c r="C77" s="35" t="inlineStr">
        <is>
          <t>1.安装部位:室内
1. Vị trí lắp đặt: Trong nhà
2.介质:冷冻水
2. Môi chất: Nước lạnh
3.材质:热镀锌钢管
3. Vật liệu: Ống thép mạ kẽm nhúng nóng
4.规格:DN40*3.25
4. Quy cách: DN40*3.25
5.连接形式:螺纹连接
5. Hình thức kết nối: Nối ren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77" s="11" t="inlineStr">
        <is>
          <t>m</t>
        </is>
      </c>
      <c r="E77" s="36" t="n">
        <v>162</v>
      </c>
      <c r="F77" s="15" t="n"/>
      <c r="G77" s="15" t="n"/>
      <c r="H77" s="15">
        <f>F77+G77</f>
        <v/>
      </c>
      <c r="I77" s="13">
        <f>E77*H77</f>
        <v/>
      </c>
      <c r="J77" s="35" t="inlineStr">
        <is>
          <t>钢管：振鸿、广岐、华岐、友发、南粤
Ống thép: Zhenhong (振鸿), Guangqi (广岐), Huaqi (华岐), Youfa (友发), Nanyue (南粤)
保温：Ord,贝柠、华美、派柏士
Bảo ôn: Ord, Beining (贝柠), Huamei (华美), Paibaishi (派柏士)</t>
        </is>
      </c>
    </row>
    <row r="78" ht="235" customHeight="1">
      <c r="A78" s="11" t="n">
        <v>68</v>
      </c>
      <c r="B78" s="12" t="inlineStr">
        <is>
          <t>热镀锌钢管
Ống thép mạ kẽm nhúng nóng</t>
        </is>
      </c>
      <c r="C78" s="35" t="inlineStr">
        <is>
          <t>1.安装部位:室内
1. Vị trí lắp đặt: Trong nhà
2.介质:冷冻水
2. Môi chất: Nước lạnh
3.材质:热镀锌钢管
3. Vật liệu: Ống thép mạ kẽm nhúng nóng
4.规格:DN32*3.0
4. Quy cách: DN32*3.0
5.连接形式:螺纹连接
5. Hình thức kết nối: Nối ren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78" s="11" t="inlineStr">
        <is>
          <t>m</t>
        </is>
      </c>
      <c r="E78" s="36" t="n">
        <v>234</v>
      </c>
      <c r="F78" s="15" t="n"/>
      <c r="G78" s="15" t="n"/>
      <c r="H78" s="15">
        <f>F78+G78</f>
        <v/>
      </c>
      <c r="I78" s="13">
        <f>E78*H78</f>
        <v/>
      </c>
      <c r="J78" s="35" t="inlineStr">
        <is>
          <t>钢管：振鸿、广岐、华岐、友发、南粤
Ống thép: Zhenhong (振鸿), Guangqi (广岐), Huaqi (华岐), Youfa (友发), Nanyue (南粤)
保温：Ord,贝柠、华美、派柏士
Bảo ôn: Ord, Beining (贝柠), Huamei (华美), Paibaishi (派柏士)</t>
        </is>
      </c>
    </row>
    <row r="79" ht="235" customHeight="1">
      <c r="A79" s="11" t="n">
        <v>69</v>
      </c>
      <c r="B79" s="12" t="inlineStr">
        <is>
          <t>热镀锌钢管
Ống thép mạ kẽm nhúng nóng</t>
        </is>
      </c>
      <c r="C79" s="35" t="inlineStr">
        <is>
          <t>1.安装部位:室内
1. Vị trí lắp đặt: Trong nhà
2.介质:冷冻水
2. Môi chất: Nước lạnh
3.材质:热镀锌钢管
3. Vật liệu: Ống thép mạ kẽm nhúng nóng
4.规格:DN25*3.0
4. Quy cách: DN25*3.0
5.连接形式:螺纹连接
5. Hình thức kết nối: Nối ren
6.压力试验及吹、洗设计要求:按设计规范要求
6. Yêu cầu thiết kế về thử áp lực và thổi, rửa: Theo yêu cầu của quy phạm thiết kế
7.防腐:防锈漆二道
7. Chống ăn mòn: Sơn chống gỉ hai lớp
8.保温层:难燃(B1级)柔性泡沫橡塑δ=25mm
8. Lớp bảo ôn: Cao su-nhựa xốp mềm khó cháy (cấp B1) δ=25mm
9.含连接管件
9. Gồm phụ kiện nối ống
10.其他:符合设计图纸以及施工规范要求
10. Khác: Phù hợp yêu cầu của bản vẽ thiết kế và quy phạm thi công</t>
        </is>
      </c>
      <c r="D79" s="11" t="inlineStr">
        <is>
          <t>m</t>
        </is>
      </c>
      <c r="E79" s="36" t="n">
        <v>36</v>
      </c>
      <c r="F79" s="15" t="n"/>
      <c r="G79" s="15" t="n"/>
      <c r="H79" s="15">
        <f>F79+G79</f>
        <v/>
      </c>
      <c r="I79" s="13">
        <f>E79*H79</f>
        <v/>
      </c>
      <c r="J79" s="35" t="inlineStr">
        <is>
          <t>钢管：振鸿、广岐、华岐、友发、南粤
Ống thép: Zhenhong (振鸿), Guangqi (广岐), Huaqi (华岐), Youfa (友发), Nanyue (南粤)
保温：Ord,贝柠、华美、派柏士
Bảo ôn: Ord, Beining (贝柠), Huamei (华美), Paibaishi (派柏士)</t>
        </is>
      </c>
    </row>
    <row r="80" ht="235" customHeight="1">
      <c r="A80" s="11" t="n">
        <v>70</v>
      </c>
      <c r="B80" s="12" t="inlineStr">
        <is>
          <t>热镀锌钢管
Ống thép mạ kẽm nhúng nóng</t>
        </is>
      </c>
      <c r="C80" s="35" t="inlineStr">
        <is>
          <t>1.安装部位:室内
1. Vị trí lắp đặt: Trong nhà
2.介质:冷冻水
2. Môi chất: Nước lạnh
3.材质:热镀锌钢管
3. Vật liệu: Ống thép mạ kẽm nhúng nóng
4.规格:DN20*2.75
4. Quy cách: DN20*2.75
5.连接形式:螺纹连接
5. Hình thức kết nối: Nối ren
6.压力试验及吹、洗设计要求:按设计规范要求
6. Yêu cầu thiết kế về thử áp lực và thổi, rửa: Theo yêu cầu của quy phạm thiết kế
7.防腐:防锈漆二道
7. Chống ăn mòn: Sơn chống gỉ hai lớp
8.保温层:难燃(B1级)柔性泡沫橡塑δ=25mm
8. Lớp bảo ôn: Cao su-nhựa xốp mềm khó cháy (cấp B1) δ=25mm
9.含连接管件
9. Gồm phụ kiện nối ống
10.其他:符合设计图纸以及施工规范要求
10. Khác: Phù hợp yêu cầu của bản vẽ thiết kế và quy phạm thi công</t>
        </is>
      </c>
      <c r="D80" s="11" t="inlineStr">
        <is>
          <t>m</t>
        </is>
      </c>
      <c r="E80" s="36" t="n">
        <v>354</v>
      </c>
      <c r="F80" s="15" t="n"/>
      <c r="G80" s="15" t="n"/>
      <c r="H80" s="15">
        <f>F80+G80</f>
        <v/>
      </c>
      <c r="I80" s="13">
        <f>E80*H80</f>
        <v/>
      </c>
      <c r="J80" s="35" t="inlineStr">
        <is>
          <t>钢管：振鸿、广岐、华岐、友发、南粤
Ống thép: Zhenhong (振鸿), Guangqi (广岐), Huaqi (华岐), Youfa (友发), Nanyue (南粤)
保温：Ord,贝柠、华美、派柏士
Bảo ôn: Ord, Beining (贝柠), Huamei (华美), Paibaishi (派柏士)</t>
        </is>
      </c>
    </row>
    <row r="81" ht="143" customHeight="1">
      <c r="A81" s="11" t="n">
        <v>71</v>
      </c>
      <c r="B81" s="12" t="inlineStr">
        <is>
          <t>排水管（恒温恒湿空调系统排水）
Ống thoát nước (thoát nước hệ thống điều hòa ổn định nhiệt độ - độ ẩm)</t>
        </is>
      </c>
      <c r="C81" s="35" t="inlineStr">
        <is>
          <t>1.材质:PPR热水管
1. Vật liệu: Ống nước nóng PPR
2.规格:De110
2. Quy cách: De110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81" s="11" t="inlineStr">
        <is>
          <t>m</t>
        </is>
      </c>
      <c r="E81" s="36" t="n">
        <v>72</v>
      </c>
      <c r="F81" s="15" t="n"/>
      <c r="G81" s="15" t="n"/>
      <c r="H81" s="15">
        <f>F81+G81</f>
        <v/>
      </c>
      <c r="I81" s="13">
        <f>E81*H81</f>
        <v/>
      </c>
      <c r="J81" s="35" t="inlineStr">
        <is>
          <t>PVC管：联塑、日丰
Ống PVC: Lesso (联塑), Rifeng (日丰)
保温：Ord,贝柠、华美、派柏士
Bảo ôn: Ord, Beining (贝柠), Huamei (华美), Paibaishi (派柏士)</t>
        </is>
      </c>
    </row>
    <row r="82" ht="143" customHeight="1">
      <c r="A82" s="11" t="n">
        <v>72</v>
      </c>
      <c r="B82" s="12" t="inlineStr">
        <is>
          <t>排水管（恒温恒湿空调系统排水）
Ống thoát nước (thoát nước hệ thống điều hòa ổn định nhiệt độ - độ ẩm)</t>
        </is>
      </c>
      <c r="C82" s="35" t="inlineStr">
        <is>
          <t>1.材质:PPR热水管
1. Vật liệu: Ống nước nóng PPR
2.规格:De75
2. Quy cách: De75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82" s="11" t="inlineStr">
        <is>
          <t>m</t>
        </is>
      </c>
      <c r="E82" s="36" t="n">
        <v>208</v>
      </c>
      <c r="F82" s="15" t="n"/>
      <c r="G82" s="15" t="n"/>
      <c r="H82" s="15">
        <f>F82+G82</f>
        <v/>
      </c>
      <c r="I82" s="13">
        <f>E82*H82</f>
        <v/>
      </c>
      <c r="J82" s="35" t="inlineStr">
        <is>
          <t>PVC管：联塑、日丰
Ống PVC: Lesso (联塑), Rifeng (日丰)
保温：Ord,贝柠、华美、派柏士
Bảo ôn: Ord, Beining (贝柠), Huamei (华美), Paibaishi (派柏士)</t>
        </is>
      </c>
    </row>
    <row r="83" ht="143" customHeight="1">
      <c r="A83" s="11" t="n">
        <v>73</v>
      </c>
      <c r="B83" s="12" t="inlineStr">
        <is>
          <t>排水管（恒温恒湿空调系统排水）
Ống thoát nước (thoát nước hệ thống điều hòa ổn định nhiệt độ - độ ẩm)</t>
        </is>
      </c>
      <c r="C83" s="35" t="inlineStr">
        <is>
          <t>1.材质:PPR热水管
1. Vật liệu: Ống nước nóng PPR
2.规格:De63
2. Quy cách: De63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83" s="11" t="inlineStr">
        <is>
          <t>m</t>
        </is>
      </c>
      <c r="E83" s="36" t="n">
        <v>228</v>
      </c>
      <c r="F83" s="15" t="n"/>
      <c r="G83" s="15" t="n"/>
      <c r="H83" s="15">
        <f>F83+G83</f>
        <v/>
      </c>
      <c r="I83" s="13">
        <f>E83*H83</f>
        <v/>
      </c>
      <c r="J83" s="35" t="inlineStr">
        <is>
          <t>PVC管：联塑、日丰
Ống PVC: Lesso (联塑), Rifeng (日丰)
保温：Ord,贝柠、华美、派柏士
Bảo ôn: Ord, Beining (贝柠), Huamei (华美), Paibaishi (派柏士)</t>
        </is>
      </c>
    </row>
    <row r="84" ht="143" customHeight="1">
      <c r="A84" s="11" t="n">
        <v>74</v>
      </c>
      <c r="B84" s="12" t="inlineStr">
        <is>
          <t>排水管（恒温恒湿空调系统排水）
Ống thoát nước (thoát nước hệ thống điều hòa ổn định nhiệt độ - độ ẩm)</t>
        </is>
      </c>
      <c r="C84" s="35" t="inlineStr">
        <is>
          <t>1.材质:PPR热水管
1. Vật liệu: Ống nước nóng PPR
2.规格:De50
2. Quy cách: De50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84" s="11" t="inlineStr">
        <is>
          <t>m</t>
        </is>
      </c>
      <c r="E84" s="36" t="n">
        <v>124</v>
      </c>
      <c r="F84" s="15" t="n"/>
      <c r="G84" s="15" t="n"/>
      <c r="H84" s="15">
        <f>F84+G84</f>
        <v/>
      </c>
      <c r="I84" s="13">
        <f>E84*H84</f>
        <v/>
      </c>
      <c r="J84" s="35" t="inlineStr">
        <is>
          <t>PVC管：联塑、日丰
Ống PVC: Lesso (联塑), Rifeng (日丰)
保温：Ord,贝柠、华美、派柏士
Bảo ôn: Ord, Beining (贝柠), Huamei (华美), Paibaishi (派柏士)</t>
        </is>
      </c>
    </row>
    <row r="85" ht="143" customHeight="1">
      <c r="A85" s="11" t="n">
        <v>75</v>
      </c>
      <c r="B85" s="12" t="inlineStr">
        <is>
          <t>排水管（恒温恒湿空调系统排水）
Ống thoát nước (thoát nước hệ thống điều hòa ổn định nhiệt độ - độ ẩm)</t>
        </is>
      </c>
      <c r="C85" s="35" t="inlineStr">
        <is>
          <t>1.材质:PPR热水管
1. Vật liệu: Ống nước nóng PPR
2.规格:De40
2. Quy cách: De40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85" s="11" t="inlineStr">
        <is>
          <t>m</t>
        </is>
      </c>
      <c r="E85" s="36" t="n">
        <v>196</v>
      </c>
      <c r="F85" s="15" t="n"/>
      <c r="G85" s="15" t="n"/>
      <c r="H85" s="15">
        <f>F85+G85</f>
        <v/>
      </c>
      <c r="I85" s="13">
        <f>E85*H85</f>
        <v/>
      </c>
      <c r="J85" s="35" t="inlineStr">
        <is>
          <t>PVC管：联塑、日丰
Ống PVC: Lesso (联塑), Rifeng (日丰)
保温：Ord,贝柠、华美、派柏士
Bảo ôn: Ord, Beining (贝柠), Huamei (华美), Paibaishi (派柏士)</t>
        </is>
      </c>
    </row>
    <row r="86" ht="143" customHeight="1">
      <c r="A86" s="11" t="n">
        <v>76</v>
      </c>
      <c r="B86" s="12" t="inlineStr">
        <is>
          <t>冷凝水排水管
Ống thoát nước ngưng</t>
        </is>
      </c>
      <c r="C86" s="35" t="inlineStr">
        <is>
          <t>1.材质:PVC给水管
1. Vật liệu: Ống cấp nước PVC
2.规格:De160
2. Quy cách: De160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86" s="11" t="inlineStr">
        <is>
          <t>m</t>
        </is>
      </c>
      <c r="E86" s="36" t="n">
        <v>116</v>
      </c>
      <c r="F86" s="15" t="n"/>
      <c r="G86" s="15" t="n"/>
      <c r="H86" s="15">
        <f>F86+G86</f>
        <v/>
      </c>
      <c r="I86" s="13">
        <f>E86*H86</f>
        <v/>
      </c>
      <c r="J86" s="35" t="inlineStr">
        <is>
          <t>PVC管：联塑、日丰
Ống PVC: Lesso (联塑), Rifeng (日丰)
保温：Ord,贝柠、华美、派柏士
Bảo ôn: Ord, Beining (贝柠), Huamei (华美), Paibaishi (派柏士)</t>
        </is>
      </c>
    </row>
    <row r="87" ht="143" customHeight="1">
      <c r="A87" s="11" t="n">
        <v>77</v>
      </c>
      <c r="B87" s="12" t="inlineStr">
        <is>
          <t>冷凝水排水管
Ống thoát nước ngưng</t>
        </is>
      </c>
      <c r="C87" s="35" t="inlineStr">
        <is>
          <t>1.材质:PVC给水管
1. Vật liệu: Ống cấp nước PVC
2.规格:De110
2. Quy cách: De110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87" s="11" t="inlineStr">
        <is>
          <t>m</t>
        </is>
      </c>
      <c r="E87" s="36" t="n">
        <v>90</v>
      </c>
      <c r="F87" s="15" t="n"/>
      <c r="G87" s="15" t="n"/>
      <c r="H87" s="15">
        <f>F87+G87</f>
        <v/>
      </c>
      <c r="I87" s="13">
        <f>E87*H87</f>
        <v/>
      </c>
      <c r="J87" s="35" t="inlineStr">
        <is>
          <t>PVC管：联塑、日丰
Ống PVC: Lesso (联塑), Rifeng (日丰)
保温：Ord,贝柠、华美、派柏士
Bảo ôn: Ord, Beining (贝柠), Huamei (华美), Paibaishi (派柏士)</t>
        </is>
      </c>
    </row>
    <row r="88" ht="143" customHeight="1">
      <c r="A88" s="11" t="n">
        <v>78</v>
      </c>
      <c r="B88" s="12" t="inlineStr">
        <is>
          <t>冷凝水排水管
Ống thoát nước ngưng</t>
        </is>
      </c>
      <c r="C88" s="35" t="inlineStr">
        <is>
          <t>1.材质:PVC给水管
1. Vật liệu: Ống cấp nước PVC
2.规格:De75
2. Quy cách: De75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88" s="11" t="inlineStr">
        <is>
          <t>m</t>
        </is>
      </c>
      <c r="E88" s="36" t="n">
        <v>64</v>
      </c>
      <c r="F88" s="15" t="n"/>
      <c r="G88" s="15" t="n"/>
      <c r="H88" s="15">
        <f>F88+G88</f>
        <v/>
      </c>
      <c r="I88" s="13">
        <f>E88*H88</f>
        <v/>
      </c>
      <c r="J88" s="35" t="inlineStr">
        <is>
          <t>PVC管：联塑、日丰
Ống PVC: Lesso (联塑), Rifeng (日丰)
保温：Ord,贝柠、华美、派柏士
Bảo ôn: Ord, Beining (贝柠), Huamei (华美), Paibaishi (派柏士)</t>
        </is>
      </c>
    </row>
    <row r="89" ht="143" customHeight="1">
      <c r="A89" s="11" t="n">
        <v>79</v>
      </c>
      <c r="B89" s="12" t="inlineStr">
        <is>
          <t>冷凝水排水管
Ống thoát nước ngưng</t>
        </is>
      </c>
      <c r="C89" s="35" t="inlineStr">
        <is>
          <t>1.材质:PVC给水管
1. Vật liệu: Ống cấp nước PVC
2.规格:De63
2. Quy cách: De63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89" s="11" t="inlineStr">
        <is>
          <t>m</t>
        </is>
      </c>
      <c r="E89" s="36" t="n">
        <v>352</v>
      </c>
      <c r="F89" s="15" t="n"/>
      <c r="G89" s="15" t="n"/>
      <c r="H89" s="15">
        <f>F89+G89</f>
        <v/>
      </c>
      <c r="I89" s="13">
        <f>E89*H89</f>
        <v/>
      </c>
      <c r="J89" s="35" t="inlineStr">
        <is>
          <t>PVC管：联塑、日丰
Ống PVC: Lesso (联塑), Rifeng (日丰)
保温：Ord,贝柠、华美、派柏士
Bảo ôn: Ord, Beining (贝柠), Huamei (华美), Paibaishi (派柏士)</t>
        </is>
      </c>
    </row>
    <row r="90" ht="143" customHeight="1">
      <c r="A90" s="11" t="n">
        <v>80</v>
      </c>
      <c r="B90" s="12" t="inlineStr">
        <is>
          <t>冷凝水排水管
Ống thoát nước ngưng</t>
        </is>
      </c>
      <c r="C90" s="35" t="inlineStr">
        <is>
          <t>1.材质:PVC给水管
1. Vật liệu: Ống cấp nước PVC
2.规格:De40
2. Quy cách: De40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90" s="11" t="inlineStr">
        <is>
          <t>m</t>
        </is>
      </c>
      <c r="E90" s="36" t="n">
        <v>404</v>
      </c>
      <c r="F90" s="15" t="n"/>
      <c r="G90" s="15" t="n"/>
      <c r="H90" s="15">
        <f>F90+G90</f>
        <v/>
      </c>
      <c r="I90" s="13">
        <f>E90*H90</f>
        <v/>
      </c>
      <c r="J90" s="35" t="inlineStr">
        <is>
          <t>PVC管：联塑、日丰
Ống PVC: Lesso (联塑), Rifeng (日丰)
保温：Ord,贝柠、华美、派柏士
Bảo ôn: Ord, Beining (贝柠), Huamei (华美), Paibaishi (派柏士)</t>
        </is>
      </c>
    </row>
    <row r="91" ht="143" customHeight="1">
      <c r="A91" s="11" t="n">
        <v>81</v>
      </c>
      <c r="B91" s="12" t="inlineStr">
        <is>
          <t>冷凝水排水管
Ống thoát nước ngưng</t>
        </is>
      </c>
      <c r="C91" s="35" t="inlineStr">
        <is>
          <t>1.材质:PVC给水管
1. Vật liệu: Ống cấp nước PVC
2.规格:De32
2. Quy cách: De32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91" s="11" t="inlineStr">
        <is>
          <t>m</t>
        </is>
      </c>
      <c r="E91" s="36" t="n">
        <v>76</v>
      </c>
      <c r="F91" s="15" t="n"/>
      <c r="G91" s="15" t="n"/>
      <c r="H91" s="15">
        <f>F91+G91</f>
        <v/>
      </c>
      <c r="I91" s="13">
        <f>E91*H91</f>
        <v/>
      </c>
      <c r="J91" s="35" t="inlineStr">
        <is>
          <t>PVC管：联塑、日丰
Ống PVC: Lesso (联塑), Rifeng (日丰)
保温：Ord,贝柠、华美、派柏士
Bảo ôn: Ord, Beining (贝柠), Huamei (华美), Paibaishi (派柏士)</t>
        </is>
      </c>
    </row>
    <row r="92" ht="143" customHeight="1">
      <c r="A92" s="11" t="n">
        <v>82</v>
      </c>
      <c r="B92" s="12" t="inlineStr">
        <is>
          <t>冷凝水排水管
Ống thoát nước ngưng</t>
        </is>
      </c>
      <c r="C92" s="35" t="inlineStr">
        <is>
          <t>1.材质:PVC给水管
1. Vật liệu: Ống cấp nước PVC
2.规格:De25
2. Quy cách: De25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92" s="11" t="inlineStr">
        <is>
          <t>m</t>
        </is>
      </c>
      <c r="E92" s="36" t="n">
        <v>216</v>
      </c>
      <c r="F92" s="15" t="n"/>
      <c r="G92" s="15" t="n"/>
      <c r="H92" s="15">
        <f>F92+G92</f>
        <v/>
      </c>
      <c r="I92" s="13">
        <f>E92*H92</f>
        <v/>
      </c>
      <c r="J92" s="35" t="inlineStr">
        <is>
          <t>PVC管：联塑、日丰
Ống PVC: Lesso (联塑), Rifeng (日丰)
保温：Ord,贝柠、华美、派柏士
Bảo ôn: Ord, Beining (贝柠), Huamei (华美), Paibaishi (派柏士)</t>
        </is>
      </c>
    </row>
    <row r="93" ht="97" customHeight="1">
      <c r="A93" s="11" t="n">
        <v>83</v>
      </c>
      <c r="B93" s="12" t="inlineStr">
        <is>
          <t>管道支架
Giá đỡ đường ống</t>
        </is>
      </c>
      <c r="C93" s="35" t="inlineStr">
        <is>
          <t>1.形式:吊托支架
1. Hình thức: Giá treo đỡ
2.材质:碳钢(型钢综合)
2. Vật liệu: Thép cacbon (tổng hợp thép hình)
3.除锈、刷油:手工除锈，防锈漆、调和漆各二道
3. Tẩy gỉ, sơn: Tẩy gỉ thủ công, sơn chống gỉ và sơn phủ mỗi loại hai lớp
4.其他:符合设计图纸以及施工规范要求
4. Khác: Phù hợp yêu cầu của bản vẽ thiết kế và quy phạm thi công</t>
        </is>
      </c>
      <c r="D93" s="11" t="inlineStr">
        <is>
          <t>kg</t>
        </is>
      </c>
      <c r="E93" s="40" t="n">
        <v>23582.6</v>
      </c>
      <c r="F93" s="15" t="n"/>
      <c r="G93" s="15" t="n"/>
      <c r="H93" s="15">
        <f>F93+G93</f>
        <v/>
      </c>
      <c r="I93" s="13">
        <f>E93*H93</f>
        <v/>
      </c>
      <c r="J93" s="35" t="inlineStr">
        <is>
          <t>国标
Tiêu chuẩn quốc gia (GB)</t>
        </is>
      </c>
    </row>
    <row r="94" ht="85.5" customHeight="1">
      <c r="A94" s="11" t="n">
        <v>84</v>
      </c>
      <c r="B94" s="12" t="inlineStr">
        <is>
          <t>比例积分调节阀
Van điều chỉnh tỷ lệ - tích phân (PI)</t>
        </is>
      </c>
      <c r="C94" s="35" t="inlineStr">
        <is>
          <t>1.类型:比例积分调节阀
1. Loại: Van điều chỉnh tỷ lệ - tích phân (PI)
2.规格:DN100
2. Quy cách: DN100
3.连接形式:法兰连接                     4.其他:符合设计图纸以及施工规范要求
3. Hình thức kết nối: Nối mặt bích                     4. Khác: Phù hợp yêu cầu của bản vẽ thiết kế và quy phạm thi công</t>
        </is>
      </c>
      <c r="D94" s="11" t="inlineStr">
        <is>
          <t>个
Cái</t>
        </is>
      </c>
      <c r="E94" s="36" t="n">
        <v>24</v>
      </c>
      <c r="F94" s="15" t="n"/>
      <c r="G94" s="15" t="n"/>
      <c r="H94" s="15">
        <f>F94+G94</f>
        <v/>
      </c>
      <c r="I94" s="13">
        <f>E94*H94</f>
        <v/>
      </c>
      <c r="J94" s="35" t="inlineStr">
        <is>
          <t>江森、霍尼韦尔、西门子
Johnson Controls (江森), Honeywell (霍尼韦尔), Siemens (西门子)</t>
        </is>
      </c>
    </row>
    <row r="95" ht="85.5" customHeight="1">
      <c r="A95" s="11" t="n">
        <v>85</v>
      </c>
      <c r="B95" s="12" t="inlineStr">
        <is>
          <t>比例积分调节阀
Van điều chỉnh tỷ lệ - tích phân (PI)</t>
        </is>
      </c>
      <c r="C95" s="35" t="inlineStr">
        <is>
          <t>1.类型:比例积分调节阀
1. Loại: Van điều chỉnh tỷ lệ - tích phân (PI)
2.规格:DN65
2. Quy cách: DN65
3.连接形式:法兰连接                     4.其他:符合设计图纸以及施工规范要求
3. Hình thức kết nối: Nối mặt bích                     4. Khác: Phù hợp yêu cầu của bản vẽ thiết kế và quy phạm thi công</t>
        </is>
      </c>
      <c r="D95" s="11" t="inlineStr">
        <is>
          <t>个
Cái</t>
        </is>
      </c>
      <c r="E95" s="36" t="n">
        <v>68</v>
      </c>
      <c r="F95" s="15" t="n"/>
      <c r="G95" s="15" t="n"/>
      <c r="H95" s="15">
        <f>F95+G95</f>
        <v/>
      </c>
      <c r="I95" s="13">
        <f>E95*H95</f>
        <v/>
      </c>
      <c r="J95" s="35" t="inlineStr">
        <is>
          <t>江森、霍尼韦尔、西门子
Johnson Controls (江森), Honeywell (霍尼韦尔), Siemens (西门子)</t>
        </is>
      </c>
    </row>
    <row r="96" ht="85.5" customHeight="1">
      <c r="A96" s="11" t="n">
        <v>86</v>
      </c>
      <c r="B96" s="12" t="inlineStr">
        <is>
          <t>比例积分调节阀
Van điều chỉnh tỷ lệ - tích phân (PI)</t>
        </is>
      </c>
      <c r="C96" s="35" t="inlineStr">
        <is>
          <t>1.类型:比例积分调节阀
1. Loại: Van điều chỉnh tỷ lệ - tích phân (PI)
2.规格:DN50
2. Quy cách: DN50
3.连接形式:螺纹连接                     4.其他:符合设计图纸以及施工规范要求
3. Hình thức kết nối: Nối ren                     4. Khác: Phù hợp yêu cầu của bản vẽ thiết kế và quy phạm thi công</t>
        </is>
      </c>
      <c r="D96" s="11" t="inlineStr">
        <is>
          <t>个
Cái</t>
        </is>
      </c>
      <c r="E96" s="36" t="n">
        <v>4</v>
      </c>
      <c r="F96" s="15" t="n"/>
      <c r="G96" s="15" t="n"/>
      <c r="H96" s="15">
        <f>F96+G96</f>
        <v/>
      </c>
      <c r="I96" s="13">
        <f>E96*H96</f>
        <v/>
      </c>
      <c r="J96" s="35" t="inlineStr">
        <is>
          <t>江森、霍尼韦尔、西门子
Johnson Controls (江森), Honeywell (霍尼韦尔), Siemens (西门子)</t>
        </is>
      </c>
    </row>
    <row r="97" ht="97" customHeight="1">
      <c r="A97" s="11" t="n">
        <v>87</v>
      </c>
      <c r="B97" s="12" t="inlineStr">
        <is>
          <t>电动二通阀
Van hai ngả điện</t>
        </is>
      </c>
      <c r="C97" s="35" t="inlineStr">
        <is>
          <t>1.类型:电动二通阀
1. Loại: Van hai ngả điện
2.规格:DN20
2. Quy cách: DN20
3.连接形式:螺纹连接
3. Hình thức kết nối: Nối ren
4.其他:符合设计图纸以及施工规范要求
4. Khác: Phù hợp yêu cầu của bản vẽ thiết kế và quy phạm thi công</t>
        </is>
      </c>
      <c r="D97" s="11" t="inlineStr">
        <is>
          <t>个
Cái</t>
        </is>
      </c>
      <c r="E97" s="36" t="n">
        <v>58</v>
      </c>
      <c r="F97" s="15" t="n"/>
      <c r="G97" s="15" t="n"/>
      <c r="H97" s="15">
        <f>F97+G97</f>
        <v/>
      </c>
      <c r="I97" s="13">
        <f>E97*H97</f>
        <v/>
      </c>
      <c r="J97" s="35" t="inlineStr">
        <is>
          <t>江森、霍尼韦尔、西门子
Johnson Controls (江森), Honeywell (霍尼韦尔), Siemens (西门子)</t>
        </is>
      </c>
    </row>
    <row r="98" ht="97" customHeight="1">
      <c r="A98" s="11" t="n">
        <v>88</v>
      </c>
      <c r="B98" s="12" t="inlineStr">
        <is>
          <t>蜗轮对夹式蝶阀
Van bướm kiểu kẹp (wafer) vận hành bằng bánh vít</t>
        </is>
      </c>
      <c r="C98" s="35" t="inlineStr">
        <is>
          <t>1.类型:蜗轮对夹式蝶阀
1. Loại: Van bướm kiểu kẹp (wafer) vận hành bằng bánh vít
2.规格:DN250
2. Quy cách: DN250
3.连接形式:法兰连接
3. Hình thức kết nối: Nối mặt bích
4.其他:符合设计图纸以及施工规范要求
4. Khác: Phù hợp yêu cầu của bản vẽ thiết kế và quy phạm thi công</t>
        </is>
      </c>
      <c r="D98" s="11" t="inlineStr">
        <is>
          <t>个
Cái</t>
        </is>
      </c>
      <c r="E98" s="36" t="n">
        <v>16</v>
      </c>
      <c r="F98" s="15" t="n"/>
      <c r="G98" s="15" t="n"/>
      <c r="H98" s="15">
        <f>F98+G98</f>
        <v/>
      </c>
      <c r="I98" s="13">
        <f>E98*H98</f>
        <v/>
      </c>
      <c r="J98" s="35" t="inlineStr">
        <is>
          <t>塘沽利盾、塘沽申瑞德、塘沽富恒星
Tanggu Lidun (塘沽利盾), Tanggu Shenruide (塘沽申瑞德), Tanggu Fuhengxing (塘沽富恒星)</t>
        </is>
      </c>
    </row>
    <row r="99" ht="97" customHeight="1">
      <c r="A99" s="11" t="n">
        <v>89</v>
      </c>
      <c r="B99" s="12" t="inlineStr">
        <is>
          <t>蜗轮对夹式蝶阀
Van bướm kiểu kẹp (wafer) vận hành bằng bánh vít</t>
        </is>
      </c>
      <c r="C99" s="35" t="inlineStr">
        <is>
          <t>1.类型:蜗轮对夹式蝶阀
1. Loại: Van bướm kiểu kẹp (wafer) vận hành bằng bánh vít
2.规格:DN100
2. Quy cách: DN100
3.连接形式:法兰连接
3. Hình thức kết nối: Nối mặt bích
4.其他:符合设计图纸以及施工规范要求
4. Khác: Phù hợp yêu cầu của bản vẽ thiết kế và quy phạm thi công</t>
        </is>
      </c>
      <c r="D99" s="11" t="inlineStr">
        <is>
          <t>个
Cái</t>
        </is>
      </c>
      <c r="E99" s="36" t="n">
        <v>4</v>
      </c>
      <c r="F99" s="15" t="n"/>
      <c r="G99" s="15" t="n"/>
      <c r="H99" s="15">
        <f>F99+G99</f>
        <v/>
      </c>
      <c r="I99" s="13">
        <f>E99*H99</f>
        <v/>
      </c>
      <c r="J99" s="35" t="inlineStr">
        <is>
          <t>塘沽利盾、塘沽申瑞德、塘沽富恒星
Tanggu Lidun (塘沽利盾), Tanggu Shenruide (塘沽申瑞德), Tanggu Fuhengxing (塘沽富恒星)</t>
        </is>
      </c>
    </row>
    <row r="100" ht="97" customHeight="1">
      <c r="A100" s="11" t="n">
        <v>90</v>
      </c>
      <c r="B100" s="12" t="inlineStr">
        <is>
          <t>蜗轮对夹式蝶阀
Van bướm kiểu kẹp (wafer) vận hành bằng bánh vít</t>
        </is>
      </c>
      <c r="C100" s="35" t="inlineStr">
        <is>
          <t>1.类型:蜗轮对夹式蝶阀
1. Loại: Van bướm kiểu kẹp (wafer) vận hành bằng bánh vít
2.规格:DN65
2. Quy cách: DN65
3.连接形式:法兰连接
3. Hình thức kết nối: Nối mặt bích
4.其他:符合设计图纸以及施工规范要求
4. Khác: Phù hợp yêu cầu của bản vẽ thiết kế và quy phạm thi công</t>
        </is>
      </c>
      <c r="D100" s="11" t="inlineStr">
        <is>
          <t>个
Cái</t>
        </is>
      </c>
      <c r="E100" s="36" t="n">
        <v>136</v>
      </c>
      <c r="F100" s="15" t="n"/>
      <c r="G100" s="15" t="n"/>
      <c r="H100" s="15">
        <f>F100+G100</f>
        <v/>
      </c>
      <c r="I100" s="13">
        <f>E100*H100</f>
        <v/>
      </c>
      <c r="J100" s="35" t="inlineStr">
        <is>
          <t>塘沽利盾、塘沽申瑞德、塘沽富恒星
Tanggu Lidun (塘沽利盾), Tanggu Shenruide (塘沽申瑞德), Tanggu Fuhengxing (塘沽富恒星)</t>
        </is>
      </c>
    </row>
    <row r="101" ht="97" customHeight="1">
      <c r="A101" s="11" t="n">
        <v>91</v>
      </c>
      <c r="B101" s="12" t="inlineStr">
        <is>
          <t>铜闸阀
Van cổng bằng đồng</t>
        </is>
      </c>
      <c r="C101" s="35" t="inlineStr">
        <is>
          <t>1.类型:铜闸阀
1. Loại: Van cổng bằng đồng
2.规格:DN50
2. Quy cách: DN50
3.连接形式:螺纹连接
3. Hình thức kết nối: Nối ren
4.其他:符合设计图纸以及施工规范要求
4. Khác: Phù hợp yêu cầu của bản vẽ thiết kế và quy phạm thi công</t>
        </is>
      </c>
      <c r="D101" s="11" t="inlineStr">
        <is>
          <t>个
Cái</t>
        </is>
      </c>
      <c r="E101" s="36" t="n">
        <v>8</v>
      </c>
      <c r="F101" s="15" t="n"/>
      <c r="G101" s="15" t="n"/>
      <c r="H101" s="15">
        <f>F101+G101</f>
        <v/>
      </c>
      <c r="I101" s="13">
        <f>E101*H101</f>
        <v/>
      </c>
      <c r="J101" s="35" t="inlineStr">
        <is>
          <t>埃美柯、塘沽利盾、塘沽申瑞德、塘沽富恒星
AMICO (埃美柯), Tanggu Lidun (塘沽利盾), Tanggu Shenruide (塘沽申瑞德), Tanggu Fuhengxing (塘沽富恒星)</t>
        </is>
      </c>
    </row>
    <row r="102" ht="97" customHeight="1">
      <c r="A102" s="11" t="n">
        <v>92</v>
      </c>
      <c r="B102" s="12" t="inlineStr">
        <is>
          <t>铜闸阀
Van cổng bằng đồng</t>
        </is>
      </c>
      <c r="C102" s="35" t="inlineStr">
        <is>
          <t>1.类型:铜闸阀
1. Loại: Van cổng bằng đồng
2.规格:DN40
2. Quy cách: DN40
3.连接形式:螺纹连接
3. Hình thức kết nối: Nối ren
4.其他:符合设计图纸以及施工规范要求
4. Khác: Phù hợp yêu cầu của bản vẽ thiết kế và quy phạm thi công</t>
        </is>
      </c>
      <c r="D102" s="11" t="inlineStr">
        <is>
          <t>个
Cái</t>
        </is>
      </c>
      <c r="E102" s="36" t="n">
        <v>2</v>
      </c>
      <c r="F102" s="15" t="n"/>
      <c r="G102" s="15" t="n"/>
      <c r="H102" s="15">
        <f>F102+G102</f>
        <v/>
      </c>
      <c r="I102" s="13">
        <f>E102*H102</f>
        <v/>
      </c>
      <c r="J102" s="35" t="inlineStr">
        <is>
          <t>埃美柯、塘沽利盾、塘沽申瑞德、塘沽富恒星
AMICO (埃美柯), Tanggu Lidun (塘沽利盾), Tanggu Shenruide (塘沽申瑞德), Tanggu Fuhengxing (塘沽富恒星)</t>
        </is>
      </c>
    </row>
    <row r="103" ht="97" customHeight="1">
      <c r="A103" s="11" t="n">
        <v>93</v>
      </c>
      <c r="B103" s="12" t="inlineStr">
        <is>
          <t>铜闸阀
Van cổng bằng đồng</t>
        </is>
      </c>
      <c r="C103" s="35" t="inlineStr">
        <is>
          <t>1.类型:铜闸阀
1. Loại: Van cổng bằng đồng
2.规格:DN20
2. Quy cách: DN20
3.连接形式:螺纹连接
3. Hình thức kết nối: Nối ren
4.其他:符合设计图纸以及施工规范要求
4. Khác: Phù hợp yêu cầu của bản vẽ thiết kế và quy phạm thi công</t>
        </is>
      </c>
      <c r="D103" s="11" t="inlineStr">
        <is>
          <t>个
Cái</t>
        </is>
      </c>
      <c r="E103" s="36" t="n">
        <v>116</v>
      </c>
      <c r="F103" s="15" t="n"/>
      <c r="G103" s="15" t="n"/>
      <c r="H103" s="15">
        <f>F103+G103</f>
        <v/>
      </c>
      <c r="I103" s="13">
        <f>E103*H103</f>
        <v/>
      </c>
      <c r="J103" s="35" t="inlineStr">
        <is>
          <t>埃美柯、塘沽利盾、塘沽申瑞德、塘沽富恒星
AMICO (埃美柯), Tanggu Lidun (塘沽利盾), Tanggu Shenruide (塘沽申瑞德), Tanggu Fuhengxing (塘沽富恒星)</t>
        </is>
      </c>
    </row>
    <row r="104" ht="97" customHeight="1">
      <c r="A104" s="11" t="n">
        <v>94</v>
      </c>
      <c r="B104" s="12" t="inlineStr">
        <is>
          <t>Y型过滤器
Bộ lọc chữ Y</t>
        </is>
      </c>
      <c r="C104" s="35" t="inlineStr">
        <is>
          <t>1.类型:Y型过滤器
1. Loại: Bộ lọc chữ Y
2.规格:DN100
2. Quy cách: DN100
3.连接形式:法兰连接
3. Hình thức kết nối: Nối mặt bích
4.其他:符合设计图纸以及施工规范要求
4. Khác: Phù hợp yêu cầu của bản vẽ thiết kế và quy phạm thi công</t>
        </is>
      </c>
      <c r="D104" s="11" t="inlineStr">
        <is>
          <t>个
Cái</t>
        </is>
      </c>
      <c r="E104" s="36" t="n">
        <v>24</v>
      </c>
      <c r="F104" s="15" t="n"/>
      <c r="G104" s="15" t="n"/>
      <c r="H104" s="15">
        <f>F104+G104</f>
        <v/>
      </c>
      <c r="I104" s="13">
        <f>E104*H104</f>
        <v/>
      </c>
      <c r="J104" s="35" t="inlineStr">
        <is>
          <t>塘沽利盾、塘沽申瑞德、塘沽富恒星
Tanggu Lidun (塘沽利盾), Tanggu Shenruide (塘沽申瑞德), Tanggu Fuhengxing (塘沽富恒星)</t>
        </is>
      </c>
    </row>
    <row r="105" ht="97" customHeight="1">
      <c r="A105" s="11" t="n">
        <v>95</v>
      </c>
      <c r="B105" s="12" t="inlineStr">
        <is>
          <t>Y型过滤器
Bộ lọc chữ Y</t>
        </is>
      </c>
      <c r="C105" s="35" t="inlineStr">
        <is>
          <t>1.类型:Y型过滤器
1. Loại: Bộ lọc chữ Y
2.规格:DN65
2. Quy cách: DN65
3.连接形式:法兰连接
3. Hình thức kết nối: Nối mặt bích
4.其他:符合设计图纸以及施工规范要求
4. Khác: Phù hợp yêu cầu của bản vẽ thiết kế và quy phạm thi công</t>
        </is>
      </c>
      <c r="D105" s="11" t="inlineStr">
        <is>
          <t>个
Cái</t>
        </is>
      </c>
      <c r="E105" s="36" t="n">
        <v>68</v>
      </c>
      <c r="F105" s="15" t="n"/>
      <c r="G105" s="15" t="n"/>
      <c r="H105" s="15">
        <f>F105+G105</f>
        <v/>
      </c>
      <c r="I105" s="13">
        <f>E105*H105</f>
        <v/>
      </c>
      <c r="J105" s="35" t="inlineStr">
        <is>
          <t>塘沽利盾、塘沽申瑞德、塘沽富恒星
Tanggu Lidun (塘沽利盾), Tanggu Shenruide (塘沽申瑞德), Tanggu Fuhengxing (塘沽富恒星)</t>
        </is>
      </c>
    </row>
    <row r="106" ht="97" customHeight="1">
      <c r="A106" s="11" t="n">
        <v>96</v>
      </c>
      <c r="B106" s="12" t="inlineStr">
        <is>
          <t>Y型过滤器
Bộ lọc chữ Y</t>
        </is>
      </c>
      <c r="C106" s="35" t="inlineStr">
        <is>
          <t>1.类型:Y型过滤器
1. Loại: Bộ lọc chữ Y
2.规格:DN50
2. Quy cách: DN50
3.连接形式:螺纹连接
3. Hình thức kết nối: Nối ren
4.其他:符合设计图纸以及施工规范要求
4. Khác: Phù hợp yêu cầu của bản vẽ thiết kế và quy phạm thi công</t>
        </is>
      </c>
      <c r="D106" s="11" t="inlineStr">
        <is>
          <t>个
Cái</t>
        </is>
      </c>
      <c r="E106" s="36" t="n">
        <v>4</v>
      </c>
      <c r="F106" s="15" t="n"/>
      <c r="G106" s="15" t="n"/>
      <c r="H106" s="15">
        <f>F106+G106</f>
        <v/>
      </c>
      <c r="I106" s="13">
        <f>E106*H106</f>
        <v/>
      </c>
      <c r="J106" s="35" t="inlineStr">
        <is>
          <t>塘沽利盾、塘沽申瑞德、塘沽富恒星
Tanggu Lidun (塘沽利盾), Tanggu Shenruide (塘沽申瑞德), Tanggu Fuhengxing (塘沽富恒星)</t>
        </is>
      </c>
    </row>
    <row r="107" ht="97" customHeight="1">
      <c r="A107" s="11" t="n">
        <v>97</v>
      </c>
      <c r="B107" s="12" t="inlineStr">
        <is>
          <t>Y型过滤器
Bộ lọc chữ Y</t>
        </is>
      </c>
      <c r="C107" s="35" t="inlineStr">
        <is>
          <t>1.类型:Y型过滤器
1. Loại: Bộ lọc chữ Y
2.规格:DN20
2. Quy cách: DN20
3.连接形式:螺纹连接
3. Hình thức kết nối: Nối ren
4.其他:符合设计图纸以及施工规范要求
4. Khác: Phù hợp yêu cầu của bản vẽ thiết kế và quy phạm thi công</t>
        </is>
      </c>
      <c r="D107" s="11" t="inlineStr">
        <is>
          <t>个
Cái</t>
        </is>
      </c>
      <c r="E107" s="36" t="n">
        <v>58</v>
      </c>
      <c r="F107" s="15" t="n"/>
      <c r="G107" s="15" t="n"/>
      <c r="H107" s="15">
        <f>F107+G107</f>
        <v/>
      </c>
      <c r="I107" s="13">
        <f>E107*H107</f>
        <v/>
      </c>
      <c r="J107" s="35" t="inlineStr">
        <is>
          <t>塘沽利盾、塘沽申瑞德、塘沽富恒星
Tanggu Lidun (塘沽利盾), Tanggu Shenruide (塘沽申瑞德), Tanggu Fuhengxing (塘沽富恒星)</t>
        </is>
      </c>
    </row>
    <row r="108" ht="97" customHeight="1">
      <c r="A108" s="11" t="n">
        <v>98</v>
      </c>
      <c r="B108" s="12" t="inlineStr">
        <is>
          <t>橡胶软接头
Khớp nối mềm cao su</t>
        </is>
      </c>
      <c r="C108" s="35" t="inlineStr">
        <is>
          <t>1.类型:橡胶软接头
1. Loại: Khớp nối mềm cao su
2.规格:DN65
2. Quy cách: DN65
3.连接形式:法兰连接
3. Hình thức kết nối: Nối mặt bích
4.其他:符合设计图纸以及施工规范要求
4. Khác: Phù hợp yêu cầu của bản vẽ thiết kế và quy phạm thi công</t>
        </is>
      </c>
      <c r="D108" s="11" t="inlineStr">
        <is>
          <t>个
Cái</t>
        </is>
      </c>
      <c r="E108" s="36" t="n">
        <v>232</v>
      </c>
      <c r="F108" s="15" t="n"/>
      <c r="G108" s="15" t="n"/>
      <c r="H108" s="15">
        <f>F108+G108</f>
        <v/>
      </c>
      <c r="I108" s="13">
        <f>E108*H108</f>
        <v/>
      </c>
      <c r="J108" s="35" t="inlineStr">
        <is>
          <t>塘沽利盾、塘沽申瑞德、塘沽富恒星
Tanggu Lidun (塘沽利盾), Tanggu Shenruide (塘沽申瑞德), Tanggu Fuhengxing (塘沽富恒星)</t>
        </is>
      </c>
    </row>
    <row r="109" ht="97" customHeight="1">
      <c r="A109" s="11" t="n">
        <v>99</v>
      </c>
      <c r="B109" s="12" t="inlineStr">
        <is>
          <t>不锈钢软接头
Khớp nối mềm bằng thép không gỉ</t>
        </is>
      </c>
      <c r="C109" s="35" t="inlineStr">
        <is>
          <t>1.类型:不锈钢软接头
1. Loại: Khớp nối mềm bằng thép không gỉ
2.规格:DN50
2. Quy cách: DN50
3.连接形式:螺纹连接
3. Hình thức kết nối: Nối ren
4.其他:符合设计图纸以及施工规范要求
4. Khác: Phù hợp yêu cầu của bản vẽ thiết kế và quy phạm thi công</t>
        </is>
      </c>
      <c r="D109" s="11" t="inlineStr">
        <is>
          <t>个
Cái</t>
        </is>
      </c>
      <c r="E109" s="36" t="n">
        <v>8</v>
      </c>
      <c r="F109" s="15" t="n"/>
      <c r="G109" s="15" t="n"/>
      <c r="H109" s="15">
        <f>F109+G109</f>
        <v/>
      </c>
      <c r="I109" s="13">
        <f>E109*H109</f>
        <v/>
      </c>
      <c r="J109" s="35" t="inlineStr">
        <is>
          <t>塘沽利盾、塘沽申瑞德、塘沽富恒星
Tanggu Lidun (塘沽利盾), Tanggu Shenruide (塘沽申瑞德), Tanggu Fuhengxing (塘沽富恒星)</t>
        </is>
      </c>
    </row>
    <row r="110" ht="97" customHeight="1">
      <c r="A110" s="11" t="n">
        <v>100</v>
      </c>
      <c r="B110" s="12" t="inlineStr">
        <is>
          <t>不锈钢软接头
Khớp nối mềm bằng thép không gỉ</t>
        </is>
      </c>
      <c r="C110" s="35" t="inlineStr">
        <is>
          <t>1.类型:不锈钢软接头
1. Loại: Khớp nối mềm bằng thép không gỉ
2.规格:DN20
2. Quy cách: DN20
3.连接形式:螺纹连接
3. Hình thức kết nối: Nối ren
4.其他:符合设计图纸以及施工规范要求
4. Khác: Phù hợp yêu cầu của bản vẽ thiết kế và quy phạm thi công</t>
        </is>
      </c>
      <c r="D110" s="11" t="inlineStr">
        <is>
          <t>个
Cái</t>
        </is>
      </c>
      <c r="E110" s="36" t="n">
        <v>116</v>
      </c>
      <c r="F110" s="15" t="n"/>
      <c r="G110" s="15" t="n"/>
      <c r="H110" s="15">
        <f>F110+G110</f>
        <v/>
      </c>
      <c r="I110" s="13">
        <f>E110*H110</f>
        <v/>
      </c>
      <c r="J110" s="35" t="inlineStr">
        <is>
          <t>塘沽利盾、塘沽申瑞德、塘沽富恒星
Tanggu Lidun (塘沽利盾), Tanggu Shenruide (塘沽申瑞德), Tanggu Fuhengxing (塘沽富恒星)</t>
        </is>
      </c>
    </row>
    <row r="111" ht="74" customHeight="1">
      <c r="A111" s="11" t="n">
        <v>101</v>
      </c>
      <c r="B111" s="12" t="inlineStr">
        <is>
          <t>套管温度计
Nhiệt kế kiểu ống bọc</t>
        </is>
      </c>
      <c r="C111" s="35" t="inlineStr">
        <is>
          <t>1、名称:不锈钢套管式温度计
1. Tên: Nhiệt kế kiểu ống bọc bằng thép không gỉ
2、规格:0~50℃
2. Quy cách: 0~50℃
3.其他:符合设计图纸及施工规范要求
3. Khác: Phù hợp yêu cầu của bản vẽ thiết kế và quy phạm thi công</t>
        </is>
      </c>
      <c r="D111" s="11" t="inlineStr">
        <is>
          <t>支
Chiếc</t>
        </is>
      </c>
      <c r="E111" s="36" t="n">
        <v>192</v>
      </c>
      <c r="F111" s="15" t="n"/>
      <c r="G111" s="15" t="n"/>
      <c r="H111" s="15">
        <f>F111+G111</f>
        <v/>
      </c>
      <c r="I111" s="13">
        <f>E111*H111</f>
        <v/>
      </c>
      <c r="J111" s="35" t="inlineStr">
        <is>
          <t>塘沽利盾、红旗、华科、富阳
Tanggu Lidun (塘沽利盾), Hongqi (红旗), Huake (华科), Fuyang (富阳)</t>
        </is>
      </c>
    </row>
    <row r="112" ht="85.5" customHeight="1">
      <c r="A112" s="11" t="n">
        <v>102</v>
      </c>
      <c r="B112" s="12" t="inlineStr">
        <is>
          <t>压力表
Đồng hồ áp suất</t>
        </is>
      </c>
      <c r="C112" s="35" t="inlineStr">
        <is>
          <t>1、名称:压力表（0-1.6MPa）
1. Tên: Đồng hồ áp suất (0-1.6MPa)
2、表盘直径100mm，含不锈钢表弯、含DN15铜球阀
2. Đường kính mặt đồng hồ 100mm, gồm ống siphon (ống cong) bằng thép không gỉ, gồm van bi đồng DN15
3.其他:符合设计图纸及施工规范要求
3. Khác: Phù hợp yêu cầu của bản vẽ thiết kế và quy phạm thi công</t>
        </is>
      </c>
      <c r="D112" s="11" t="inlineStr">
        <is>
          <t>块
Cái</t>
        </is>
      </c>
      <c r="E112" s="36" t="n">
        <v>192</v>
      </c>
      <c r="F112" s="15" t="n"/>
      <c r="G112" s="15" t="n"/>
      <c r="H112" s="15">
        <f>F112+G112</f>
        <v/>
      </c>
      <c r="I112" s="13">
        <f>E112*H112</f>
        <v/>
      </c>
      <c r="J112" s="35" t="inlineStr">
        <is>
          <t>塘沽利盾、红旗、华科、富阳
Tanggu Lidun (塘沽利盾), Hongqi (红旗), Huake (华科), Fuyang (富阳)</t>
        </is>
      </c>
    </row>
    <row r="113" ht="97" customHeight="1">
      <c r="A113" s="11" t="n">
        <v>103</v>
      </c>
      <c r="B113" s="12" t="inlineStr">
        <is>
          <t>自动排气阀
Van xả khí tự động</t>
        </is>
      </c>
      <c r="C113" s="35" t="inlineStr">
        <is>
          <t>1.类型:自动排气阀
1. Loại: Van xả khí tự động
2.规格:DN20，含配套DN20球阀
2. Quy cách: DN20, gồm van bi DN20 đi kèm
3.连接形式:螺纹连接
3. Hình thức kết nối: Nối ren
4.其他:符合设计图纸及施工规范要求
4. Khác: Phù hợp yêu cầu của bản vẽ thiết kế và quy phạm thi công</t>
        </is>
      </c>
      <c r="D113" s="11" t="inlineStr">
        <is>
          <t>个
Cái</t>
        </is>
      </c>
      <c r="E113" s="36" t="n">
        <v>192</v>
      </c>
      <c r="F113" s="15" t="n"/>
      <c r="G113" s="15" t="n"/>
      <c r="H113" s="15">
        <f>F113+G113</f>
        <v/>
      </c>
      <c r="I113" s="13">
        <f>E113*H113</f>
        <v/>
      </c>
      <c r="J113" s="35" t="inlineStr">
        <is>
          <t>埃美柯、塘沽利盾、塘沽申瑞德、塘沽富恒星
AMICO (埃美柯), Tanggu Lidun (塘沽利盾), Tanggu Shenruide (塘沽申瑞德), Tanggu Fuhengxing (塘沽富恒星)</t>
        </is>
      </c>
    </row>
    <row r="114" ht="97" customHeight="1">
      <c r="A114" s="11" t="n">
        <v>104</v>
      </c>
      <c r="B114" s="12" t="inlineStr">
        <is>
          <t>泄水阀
Van xả nước</t>
        </is>
      </c>
      <c r="C114" s="35" t="inlineStr">
        <is>
          <t>1.类型:泄水阀
1. Loại: Van xả nước
2.规格:铜闸阀DN40
2. Quy cách: Van cổng bằng đồng DN40
3.连接形式:螺纹连接
3. Hình thức kết nối: Nối ren
4.其他:符合设计图纸以及施工规范要求
4. Khác: Phù hợp yêu cầu của bản vẽ thiết kế và quy phạm thi công</t>
        </is>
      </c>
      <c r="D114" s="11" t="inlineStr">
        <is>
          <t>个
Cái</t>
        </is>
      </c>
      <c r="E114" s="36" t="n">
        <v>20</v>
      </c>
      <c r="F114" s="15" t="n"/>
      <c r="G114" s="15" t="n"/>
      <c r="H114" s="15">
        <f>F114+G114</f>
        <v/>
      </c>
      <c r="I114" s="13">
        <f>E114*H114</f>
        <v/>
      </c>
      <c r="J114" s="35" t="inlineStr">
        <is>
          <t>埃美柯、塘沽利盾、塘沽申瑞德、塘沽富恒星
AMICO (埃美柯), Tanggu Lidun (塘沽利盾), Tanggu Shenruide (塘沽申瑞德), Tanggu Fuhengxing (塘沽富恒星)</t>
        </is>
      </c>
    </row>
    <row r="115" ht="74" customHeight="1">
      <c r="A115" s="11" t="n">
        <v>105</v>
      </c>
      <c r="B115" s="12" t="inlineStr">
        <is>
          <t>立管楼板开孔及修复、套管制作安装
Khoan lỗ sàn cho ống đứng và sửa chữa hoàn trả, chế tạo và lắp đặt ống lồng</t>
        </is>
      </c>
      <c r="C115" s="35" t="inlineStr">
        <is>
          <t>1.类型:楼板开孔及修复、套管制作安装                          2、名称、类型:刚性防水套管
1. Loại: Khoan lỗ sàn và sửa chữa hoàn trả, chế tạo và lắp đặt ống lồng                          2. Tên, loại: Ống lồng chống thấm loại cứng
3、材质:焊接钢管、钢板
3. Vật liệu: Ống thép hàn, thép tấm</t>
        </is>
      </c>
      <c r="D115" s="11" t="inlineStr">
        <is>
          <t>项
Hạng mục</t>
        </is>
      </c>
      <c r="E115" s="36" t="n">
        <v>1</v>
      </c>
      <c r="F115" s="15" t="n"/>
      <c r="G115" s="15" t="n"/>
      <c r="H115" s="15">
        <f>F115+G115</f>
        <v/>
      </c>
      <c r="I115" s="13">
        <f>E115*H115</f>
        <v/>
      </c>
      <c r="J115" s="35" t="n"/>
    </row>
    <row r="116" ht="39.5" customHeight="1">
      <c r="A116" s="11" t="n">
        <v>106</v>
      </c>
      <c r="B116" s="12" t="inlineStr">
        <is>
          <t>空调系统检测、调试
Kiểm tra, chạy thử hệ thống điều hòa</t>
        </is>
      </c>
      <c r="C116" s="35" t="inlineStr">
        <is>
          <t>空调水工程系统调试
Chạy thử hệ thống công trình nước điều hòa</t>
        </is>
      </c>
      <c r="D116" s="11" t="inlineStr">
        <is>
          <t>系统
Hệ thống</t>
        </is>
      </c>
      <c r="E116" s="36" t="n">
        <v>1</v>
      </c>
      <c r="F116" s="15" t="n"/>
      <c r="G116" s="15" t="n"/>
      <c r="H116" s="15">
        <f>F116+G116</f>
        <v/>
      </c>
      <c r="I116" s="13">
        <f>E116*H116</f>
        <v/>
      </c>
      <c r="J116" s="35" t="n"/>
    </row>
    <row r="117">
      <c r="A117" s="37" t="n"/>
      <c r="B117" s="38" t="inlineStr">
        <is>
          <t>小计 / Cộng</t>
        </is>
      </c>
      <c r="C117" s="37" t="n"/>
      <c r="D117" s="37" t="n"/>
      <c r="E117" s="37" t="n"/>
      <c r="F117" s="37" t="n"/>
      <c r="G117" s="37" t="n"/>
      <c r="H117" s="37" t="n"/>
      <c r="I117" s="39">
        <f>SUM(I67:I116)</f>
        <v/>
      </c>
      <c r="J117" s="37" t="n"/>
    </row>
    <row r="118" ht="28" customHeight="1">
      <c r="A118" s="33" t="inlineStr">
        <is>
          <t>四、
IV.</t>
        </is>
      </c>
      <c r="B118" s="34" t="inlineStr">
        <is>
          <t>空调电气系统 / Hệ thống điện điều hòa</t>
        </is>
      </c>
      <c r="C118" s="34" t="n"/>
      <c r="D118" s="34" t="n"/>
      <c r="E118" s="34" t="n"/>
      <c r="F118" s="34" t="n"/>
      <c r="G118" s="34" t="n"/>
      <c r="H118" s="34" t="n"/>
      <c r="I118" s="34" t="n"/>
      <c r="J118" s="34" t="n"/>
    </row>
    <row r="119" ht="143" customHeight="1">
      <c r="A119" s="11" t="n">
        <v>107</v>
      </c>
      <c r="B119" s="12" t="inlineStr">
        <is>
          <t>AHU动力控制柜
Tủ điều khiển động lực AHU
APL-1F01～04</t>
        </is>
      </c>
      <c r="C119" s="35" t="inlineStr">
        <is>
          <t>1.名称：AHU动力控制柜
1. Tên: Tủ điều khiển động lực AHU
2.编号：APL-1F01～04
2. Mã hiệu: APL-1F01～04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5.仿威图机柜：1800*1200*600
5. Tủ kiểu Rittal (威图): 1800*1200*600</t>
        </is>
      </c>
      <c r="D119" s="11" t="inlineStr">
        <is>
          <t>台
Máy</t>
        </is>
      </c>
      <c r="E119" s="36" t="n">
        <v>4</v>
      </c>
      <c r="F119" s="15" t="n"/>
      <c r="G119" s="15" t="n"/>
      <c r="H119" s="15">
        <f>F119+G119</f>
        <v/>
      </c>
      <c r="I119" s="13">
        <f>E119*H119</f>
        <v/>
      </c>
      <c r="J119" s="35" t="inlineStr">
        <is>
          <t>变频器及电气元器件：ABB、施耐德
Biến tần và linh kiện điện: ABB, Schneider (施耐德)
多功能电表：安科瑞
Đồng hồ điện đa năng: Acrel (安科瑞)</t>
        </is>
      </c>
    </row>
    <row r="120" ht="131.5" customHeight="1">
      <c r="A120" s="11" t="n">
        <v>108</v>
      </c>
      <c r="B120" s="12" t="inlineStr">
        <is>
          <t>AHU/MAU动力控制柜
Tủ điều khiển động lực AHU/MAU
APL-1F05</t>
        </is>
      </c>
      <c r="C120" s="35" t="inlineStr">
        <is>
          <t>1.名称：AHU/MAU动力控制柜
1. Tên: Tủ điều khiển động lực AHU/MAU
2.编号：APL-1F05
2. Mã hiệu: APL-1F05
3.成品柜，内含负荷开关、互感器、多功能电表、接触器、继电器、接线端子、按钮、指示灯等
3. Tủ thành phẩm, bên trong gồm cầu dao phụ tải, biến dòng, đồng hồ điện đa năng, contactor, rơ-le, cầu đấu dây, nút nhấn, đèn báo, v.v.
4.安装方式：落地式
4. Phương thức lắp đặt: Đặt sàn
5.仿威图机柜：1800*800*600
5. Tủ kiểu Rittal (威图): 1800*800*600</t>
        </is>
      </c>
      <c r="D120" s="11" t="inlineStr">
        <is>
          <t>台
Máy</t>
        </is>
      </c>
      <c r="E120" s="36" t="n">
        <v>1</v>
      </c>
      <c r="F120" s="15" t="n"/>
      <c r="G120" s="15" t="n"/>
      <c r="H120" s="15">
        <f>F120+G120</f>
        <v/>
      </c>
      <c r="I120" s="13">
        <f>E120*H120</f>
        <v/>
      </c>
      <c r="J120" s="35" t="inlineStr">
        <is>
          <t>电气元器件：ABB、施耐德
Linh kiện điện: ABB, Schneider (施耐德)
多功能电表：安科瑞
Đồng hồ điện đa năng: Acrel (安科瑞)</t>
        </is>
      </c>
    </row>
    <row r="121" ht="131.5" customHeight="1">
      <c r="A121" s="11" t="n">
        <v>109</v>
      </c>
      <c r="B121" s="12" t="inlineStr">
        <is>
          <t>AHU动力控制柜
Tủ điều khiển động lực AHU
APL-1F06</t>
        </is>
      </c>
      <c r="C121" s="35" t="inlineStr">
        <is>
          <t>1.名称：AHU动力控制柜
1. Tên: Tủ điều khiển động lực AHU
2.编号：APL-1F06
2. Mã hiệu: APL-1F06
3.成品柜，内含负荷开关、互感器、多功能电表、接触器、继电器、接线端子、按钮、指示灯等
3. Tủ thành phẩm, bên trong gồm cầu dao phụ tải, biến dòng, đồng hồ điện đa năng, contactor, rơ-le, cầu đấu dây, nút nhấn, đèn báo, v.v.
4.安装方式：落地式
4. Phương thức lắp đặt: Đặt sàn
5.仿威图机柜：1800*800*600
5. Tủ kiểu Rittal (威图): 1800*800*600</t>
        </is>
      </c>
      <c r="D121" s="11" t="inlineStr">
        <is>
          <t>台
Máy</t>
        </is>
      </c>
      <c r="E121" s="36" t="n">
        <v>1</v>
      </c>
      <c r="F121" s="15" t="n"/>
      <c r="G121" s="15" t="n"/>
      <c r="H121" s="15">
        <f>F121+G121</f>
        <v/>
      </c>
      <c r="I121" s="13">
        <f>E121*H121</f>
        <v/>
      </c>
      <c r="J121" s="35" t="inlineStr">
        <is>
          <t>电气元器件：ABB、施耐德
Linh kiện điện: ABB, Schneider (施耐德)
多功能电表：安科瑞
Đồng hồ điện đa năng: Acrel (安科瑞)</t>
        </is>
      </c>
    </row>
    <row r="122" ht="131.5" customHeight="1">
      <c r="A122" s="11" t="n">
        <v>110</v>
      </c>
      <c r="B122" s="12" t="inlineStr">
        <is>
          <t>AHU/MAU动力控制柜
Tủ điều khiển động lực AHU/MAU
APL-1F07</t>
        </is>
      </c>
      <c r="C122" s="35" t="inlineStr">
        <is>
          <t>1.名称：AHU/MAU动力控制柜
1. Tên: Tủ điều khiển động lực AHU/MAU
2.编号：APL-1F07
2. Mã hiệu: APL-1F07
3.成品柜，内含负荷开关、互感器、多功能电表、接触器、继电器、接线端子、按钮、指示灯等
3. Tủ thành phẩm, bên trong gồm cầu dao phụ tải, biến dòng, đồng hồ điện đa năng, contactor, rơ-le, cầu đấu dây, nút nhấn, đèn báo, v.v.
4.安装方式：落地式
4. Phương thức lắp đặt: Đặt sàn
5.仿威图机柜：1800*800*600
5. Tủ kiểu Rittal (威图): 1800*800*600</t>
        </is>
      </c>
      <c r="D122" s="11" t="inlineStr">
        <is>
          <t>台
Máy</t>
        </is>
      </c>
      <c r="E122" s="36" t="n">
        <v>1</v>
      </c>
      <c r="F122" s="15" t="n"/>
      <c r="G122" s="15" t="n"/>
      <c r="H122" s="15">
        <f>F122+G122</f>
        <v/>
      </c>
      <c r="I122" s="13">
        <f>E122*H122</f>
        <v/>
      </c>
      <c r="J122" s="35" t="inlineStr">
        <is>
          <t>电气元器件：ABB、施耐德
Linh kiện điện: ABB, Schneider (施耐德)
多功能电表：安科瑞
Đồng hồ điện đa năng: Acrel (安科瑞)</t>
        </is>
      </c>
    </row>
    <row r="123" ht="131.5" customHeight="1">
      <c r="A123" s="11" t="n">
        <v>111</v>
      </c>
      <c r="B123" s="12" t="inlineStr">
        <is>
          <t>AHU/MAU动力控制柜
Tủ điều khiển động lực AHU/MAU
APL-1F08</t>
        </is>
      </c>
      <c r="C123" s="35" t="inlineStr">
        <is>
          <t>1.名称：AHU/MAU动力控制柜
1. Tên: Tủ điều khiển động lực AHU/MAU
2.编号：APL-1F08
2. Mã hiệu: APL-1F08
3.成品柜，内含负荷开关、互感器、多功能电表、接触器、继电器、接线端子、按钮、指示灯等
3. Tủ thành phẩm, bên trong gồm cầu dao phụ tải, biến dòng, đồng hồ điện đa năng, contactor, rơ-le, cầu đấu dây, nút nhấn, đèn báo, v.v.
4.安装方式：落地式
4. Phương thức lắp đặt: Đặt sàn
5.仿威图机柜：1800*800*600
5. Tủ kiểu Rittal (威图): 1800*800*600</t>
        </is>
      </c>
      <c r="D123" s="11" t="inlineStr">
        <is>
          <t>台
Máy</t>
        </is>
      </c>
      <c r="E123" s="36" t="n">
        <v>1</v>
      </c>
      <c r="F123" s="15" t="n"/>
      <c r="G123" s="15" t="n"/>
      <c r="H123" s="15">
        <f>F123+G123</f>
        <v/>
      </c>
      <c r="I123" s="13">
        <f>E123*H123</f>
        <v/>
      </c>
      <c r="J123" s="35" t="inlineStr">
        <is>
          <t>电气元器件：ABB、施耐德
Linh kiện điện: ABB, Schneider (施耐德)
多功能电表：安科瑞
Đồng hồ điện đa năng: Acrel (安科瑞)</t>
        </is>
      </c>
    </row>
    <row r="124" ht="143" customHeight="1">
      <c r="A124" s="11" t="n">
        <v>112</v>
      </c>
      <c r="B124" s="12" t="inlineStr">
        <is>
          <t>RCU强弱电一体柜
Tủ tích hợp điện động lực - điện nhẹ RCU
APL-1.5F01～02</t>
        </is>
      </c>
      <c r="C124" s="35" t="inlineStr">
        <is>
          <t>1.名称：RCU强弱电一体柜
1. Tên: Tủ tích hợp điện động lực - điện nhẹ RCU
2.编号：APL-1.5F01～02
2. Mã hiệu: APL-1.5F01～02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5.仿威图机柜：500*300*200
5. Tủ kiểu Rittal (威图): 500*300*200</t>
        </is>
      </c>
      <c r="D124" s="11" t="inlineStr">
        <is>
          <t>台
Máy</t>
        </is>
      </c>
      <c r="E124" s="36" t="n">
        <v>2</v>
      </c>
      <c r="F124" s="15" t="n"/>
      <c r="G124" s="15" t="n"/>
      <c r="H124" s="15">
        <f>F124+G124</f>
        <v/>
      </c>
      <c r="I124" s="13">
        <f>E124*H124</f>
        <v/>
      </c>
      <c r="J124" s="35" t="inlineStr">
        <is>
          <t>电气元器件：ABB、施耐德
Linh kiện điện: ABB, Schneider (施耐德)</t>
        </is>
      </c>
    </row>
    <row r="125" ht="143" customHeight="1">
      <c r="A125" s="11" t="n">
        <v>113</v>
      </c>
      <c r="B125" s="12" t="inlineStr">
        <is>
          <t>RCU/FAU强弱电一体柜
Tủ tích hợp điện động lực - điện nhẹ RCU/FAU
APL-2F01～02</t>
        </is>
      </c>
      <c r="C125" s="35" t="inlineStr">
        <is>
          <t>1.名称：RCU强弱电一体柜
1. Tên: Tủ tích hợp điện động lực - điện nhẹ RCU
2.编号：APL-2F01～02
2. Mã hiệu: APL-2F01～02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5.仿威图机柜：800*600*200
5. Tủ kiểu Rittal (威图): 800*600*200</t>
        </is>
      </c>
      <c r="D125" s="11" t="inlineStr">
        <is>
          <t>台
Máy</t>
        </is>
      </c>
      <c r="E125" s="36" t="n">
        <v>2</v>
      </c>
      <c r="F125" s="15" t="n"/>
      <c r="G125" s="15" t="n"/>
      <c r="H125" s="15">
        <f>F125+G125</f>
        <v/>
      </c>
      <c r="I125" s="13">
        <f>E125*H125</f>
        <v/>
      </c>
      <c r="J125" s="35" t="inlineStr">
        <is>
          <t>电气元器件：ABB、施耐德
Linh kiện điện: ABB, Schneider (施耐德)
多功能电表：安科瑞
Đồng hồ điện đa năng: Acrel (安科瑞)</t>
        </is>
      </c>
    </row>
    <row r="126" ht="143" customHeight="1">
      <c r="A126" s="11" t="n">
        <v>114</v>
      </c>
      <c r="B126" s="12" t="inlineStr">
        <is>
          <t>RCU/FAU强弱电一体柜
Tủ tích hợp điện động lực - điện nhẹ RCU/FAU
APL-2F03～04</t>
        </is>
      </c>
      <c r="C126" s="35" t="inlineStr">
        <is>
          <t>1.名称：RCU强弱电一体柜
1. Tên: Tủ tích hợp điện động lực - điện nhẹ RCU
2.编号：APL-2F03～04
2. Mã hiệu: APL-2F03～04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5.仿威图机柜：800*600*200
5. Tủ kiểu Rittal (威图): 800*600*200</t>
        </is>
      </c>
      <c r="D126" s="11" t="inlineStr">
        <is>
          <t>台
Máy</t>
        </is>
      </c>
      <c r="E126" s="36" t="n">
        <v>2</v>
      </c>
      <c r="F126" s="15" t="n"/>
      <c r="G126" s="15" t="n"/>
      <c r="H126" s="15">
        <f>F126+G126</f>
        <v/>
      </c>
      <c r="I126" s="13">
        <f>E126*H126</f>
        <v/>
      </c>
      <c r="J126" s="35" t="inlineStr">
        <is>
          <t>电气元器件：ABB、施耐德
Linh kiện điện: ABB, Schneider (施耐德)
多功能电表：安科瑞
Đồng hồ điện đa năng: Acrel (安科瑞)</t>
        </is>
      </c>
    </row>
    <row r="127" ht="143" customHeight="1">
      <c r="A127" s="11" t="n">
        <v>115</v>
      </c>
      <c r="B127" s="12" t="inlineStr">
        <is>
          <t>RCU/FAU强弱电一体柜
Tủ tích hợp điện động lực - điện nhẹ RCU/FAU
APL-2F05～06</t>
        </is>
      </c>
      <c r="C127" s="35" t="inlineStr">
        <is>
          <t>1.名称：RCU强弱电一体柜
1. Tên: Tủ tích hợp điện động lực - điện nhẹ RCU
2.编号：APL-2F05～06
2. Mã hiệu: APL-2F05～06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5.仿威图机柜：800*600*200
5. Tủ kiểu Rittal (威图): 800*600*200</t>
        </is>
      </c>
      <c r="D127" s="11" t="inlineStr">
        <is>
          <t>台
Máy</t>
        </is>
      </c>
      <c r="E127" s="36" t="n">
        <v>2</v>
      </c>
      <c r="F127" s="15" t="n"/>
      <c r="G127" s="15" t="n"/>
      <c r="H127" s="15">
        <f>F127+G127</f>
        <v/>
      </c>
      <c r="I127" s="13">
        <f>E127*H127</f>
        <v/>
      </c>
      <c r="J127" s="35" t="inlineStr">
        <is>
          <t>电气元器件：ABB、施耐德
Linh kiện điện: ABB, Schneider (施耐德)
多功能电表：安科瑞
Đồng hồ điện đa năng: Acrel (安科瑞)</t>
        </is>
      </c>
    </row>
    <row r="128" ht="143" customHeight="1">
      <c r="A128" s="11" t="n">
        <v>116</v>
      </c>
      <c r="B128" s="12" t="inlineStr">
        <is>
          <t>RCU/FAU强弱电一体柜
Tủ tích hợp điện động lực - điện nhẹ RCU/FAU
APL-2F07～08</t>
        </is>
      </c>
      <c r="C128" s="35" t="inlineStr">
        <is>
          <t>1.名称：RCU强弱电一体柜
1. Tên: Tủ tích hợp điện động lực - điện nhẹ RCU
2.编号：APL-2F07～08
2. Mã hiệu: APL-2F07～08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5.仿威图机柜：800*600*200
5. Tủ kiểu Rittal (威图): 800*600*200</t>
        </is>
      </c>
      <c r="D128" s="11" t="inlineStr">
        <is>
          <t>台
Máy</t>
        </is>
      </c>
      <c r="E128" s="36" t="n">
        <v>2</v>
      </c>
      <c r="F128" s="15" t="n"/>
      <c r="G128" s="15" t="n"/>
      <c r="H128" s="15">
        <f>F128+G128</f>
        <v/>
      </c>
      <c r="I128" s="13">
        <f>E128*H128</f>
        <v/>
      </c>
      <c r="J128" s="35" t="inlineStr">
        <is>
          <t>电气元器件：ABB、施耐德
Linh kiện điện: ABB, Schneider (施耐德)
多功能电表：安科瑞
Đồng hồ điện đa năng: Acrel (安科瑞)</t>
        </is>
      </c>
    </row>
    <row r="129" ht="74" customHeight="1">
      <c r="A129" s="11" t="n">
        <v>117</v>
      </c>
      <c r="B129" s="12" t="inlineStr">
        <is>
          <t>电力电缆
Cáp điện động lực</t>
        </is>
      </c>
      <c r="C129" s="35" t="inlineStr">
        <is>
          <t>1.名称:电力电缆
1. Tên: Cáp điện động lực
2.规格:YJV-3*10+1*6
2. Quy cách: YJV-3*10+1*6
3.材质:铜芯
3. Vật liệu: Lõi đồng</t>
        </is>
      </c>
      <c r="D129" s="11" t="inlineStr">
        <is>
          <t>m</t>
        </is>
      </c>
      <c r="E129" s="36" t="n">
        <v>1129</v>
      </c>
      <c r="F129" s="15" t="n"/>
      <c r="G129" s="15" t="n"/>
      <c r="H129" s="15">
        <f>F129+G129</f>
        <v/>
      </c>
      <c r="I129" s="13">
        <f>E129*H129</f>
        <v/>
      </c>
      <c r="J129" s="35" t="inlineStr">
        <is>
          <t>深圳成天泰，南洋，LS,Taya
Shenzhen Chengtiantai (深圳成天泰), Nanyang (南洋), LS, Taya</t>
        </is>
      </c>
    </row>
    <row r="130" ht="74" customHeight="1">
      <c r="A130" s="11" t="n">
        <v>118</v>
      </c>
      <c r="B130" s="12" t="inlineStr">
        <is>
          <t>电力电缆
Cáp điện động lực</t>
        </is>
      </c>
      <c r="C130" s="35" t="inlineStr">
        <is>
          <t>1.名称:电力电缆
1. Tên: Cáp điện động lực
2.规格:YJV-4*2.5
2. Quy cách: YJV-4*2.5
3.材质:铜芯
3. Vật liệu: Lõi đồng</t>
        </is>
      </c>
      <c r="D130" s="11" t="inlineStr">
        <is>
          <t>m</t>
        </is>
      </c>
      <c r="E130" s="36" t="n">
        <v>3557</v>
      </c>
      <c r="F130" s="15" t="n"/>
      <c r="G130" s="15" t="n"/>
      <c r="H130" s="15">
        <f>F130+G130</f>
        <v/>
      </c>
      <c r="I130" s="13">
        <f>E130*H130</f>
        <v/>
      </c>
      <c r="J130" s="35" t="inlineStr">
        <is>
          <t>深圳成天泰，南洋，LS,Taya
Shenzhen Chengtiantai (深圳成天泰), Nanyang (南洋), LS, Taya</t>
        </is>
      </c>
    </row>
    <row r="131" ht="97" customHeight="1">
      <c r="A131" s="11" t="n">
        <v>119</v>
      </c>
      <c r="B131" s="12" t="inlineStr">
        <is>
          <t>镀锌线槽
Máng cáp mạ kẽm</t>
        </is>
      </c>
      <c r="C131" s="35" t="inlineStr">
        <is>
          <t>1.名称:镀锌线槽
1. Tên: Máng cáp mạ kẽm
2.规格：200*100*1.0mm
2. Quy cách: 200*100*1.0mm
3.材质：镀锌钢板
3. Vật liệu: Thép tấm mạ kẽm
4.含配件
4. Gồm phụ kiện</t>
        </is>
      </c>
      <c r="D131" s="11" t="inlineStr">
        <is>
          <t>m</t>
        </is>
      </c>
      <c r="E131" s="36" t="n">
        <v>890</v>
      </c>
      <c r="F131" s="15" t="n"/>
      <c r="G131" s="15" t="n"/>
      <c r="H131" s="15">
        <f>F131+G131</f>
        <v/>
      </c>
      <c r="I131" s="13">
        <f>E131*H131</f>
        <v/>
      </c>
      <c r="J131" s="35" t="inlineStr">
        <is>
          <t>国产优质
Hàng sản xuất trong nước chất lượng cao</t>
        </is>
      </c>
    </row>
    <row r="132" ht="97" customHeight="1">
      <c r="A132" s="11" t="n">
        <v>120</v>
      </c>
      <c r="B132" s="12" t="inlineStr">
        <is>
          <t>PVC线管
Ống luồn dây điện PVC</t>
        </is>
      </c>
      <c r="C132" s="35" t="inlineStr">
        <is>
          <t>1.名称:PVC线管
1. Tên: Ống luồn dây điện PVC
2.规格：Φ40
2. Quy cách: Φ40
3.材质：U-PVC硬管
3. Vật liệu: Ống cứng U-PVC
4.含配件
4. Gồm phụ kiện</t>
        </is>
      </c>
      <c r="D132" s="11" t="inlineStr">
        <is>
          <t>m</t>
        </is>
      </c>
      <c r="E132" s="36" t="n">
        <v>120</v>
      </c>
      <c r="F132" s="15" t="n"/>
      <c r="G132" s="15" t="n"/>
      <c r="H132" s="15">
        <f>F132+G132</f>
        <v/>
      </c>
      <c r="I132" s="13">
        <f>E132*H132</f>
        <v/>
      </c>
      <c r="J132" s="35" t="inlineStr">
        <is>
          <t>联塑、日丰
Lesso (联塑), Rifeng (日丰)</t>
        </is>
      </c>
    </row>
    <row r="133" ht="97" customHeight="1">
      <c r="A133" s="11" t="n">
        <v>121</v>
      </c>
      <c r="B133" s="12" t="inlineStr">
        <is>
          <t>PVC线管
Ống luồn dây điện PVC</t>
        </is>
      </c>
      <c r="C133" s="35" t="inlineStr">
        <is>
          <t>1.名称:PVC线管
1. Tên: Ống luồn dây điện PVC
2.规格：Φ25
2. Quy cách: Φ25
3.材质：U-PVC硬管
3. Vật liệu: Ống cứng U-PVC
4.含配件
4. Gồm phụ kiện</t>
        </is>
      </c>
      <c r="D133" s="11" t="inlineStr">
        <is>
          <t>m</t>
        </is>
      </c>
      <c r="E133" s="36" t="n">
        <v>392</v>
      </c>
      <c r="F133" s="15" t="n"/>
      <c r="G133" s="15" t="n"/>
      <c r="H133" s="15">
        <f>F133+G133</f>
        <v/>
      </c>
      <c r="I133" s="13">
        <f>E133*H133</f>
        <v/>
      </c>
      <c r="J133" s="35" t="inlineStr">
        <is>
          <t>联塑、日丰
Lesso (联塑), Rifeng (日丰)</t>
        </is>
      </c>
    </row>
    <row r="134" ht="51" customHeight="1">
      <c r="A134" s="11" t="n">
        <v>122</v>
      </c>
      <c r="B134" s="12" t="inlineStr">
        <is>
          <t>动力柜钢构支架
Giá đỡ kết cấu thép tủ động lực</t>
        </is>
      </c>
      <c r="C134" s="35" t="inlineStr">
        <is>
          <t>1.形式:钢构支架
1. Hình thức: Giá đỡ kết cấu thép
2.材质:槽钢
2. Vật liệu: Thép chữ U</t>
        </is>
      </c>
      <c r="D134" s="11" t="inlineStr">
        <is>
          <t>kg</t>
        </is>
      </c>
      <c r="E134" s="40" t="n">
        <v>758.6</v>
      </c>
      <c r="F134" s="15" t="n"/>
      <c r="G134" s="15" t="n"/>
      <c r="H134" s="15">
        <f>F134+G134</f>
        <v/>
      </c>
      <c r="I134" s="13">
        <f>E134*H134</f>
        <v/>
      </c>
      <c r="J134" s="35" t="inlineStr">
        <is>
          <t>国标
Tiêu chuẩn quốc gia (GB)</t>
        </is>
      </c>
    </row>
    <row r="135" ht="51" customHeight="1">
      <c r="A135" s="11" t="n">
        <v>123</v>
      </c>
      <c r="B135" s="12" t="inlineStr">
        <is>
          <t>线槽、线管支吊架
Giá treo đỡ máng cáp, ống luồn dây</t>
        </is>
      </c>
      <c r="C135" s="35" t="inlineStr">
        <is>
          <t>1.形式:吊托支架
1. Hình thức: Giá treo đỡ
2.材质:角钢、丝杆
2. Vật liệu: Thép góc, ty ren</t>
        </is>
      </c>
      <c r="D135" s="11" t="inlineStr">
        <is>
          <t>kg</t>
        </is>
      </c>
      <c r="E135" s="40" t="n">
        <v>2744.9</v>
      </c>
      <c r="F135" s="15" t="n"/>
      <c r="G135" s="15" t="n"/>
      <c r="H135" s="15">
        <f>F135+G135</f>
        <v/>
      </c>
      <c r="I135" s="13">
        <f>E135*H135</f>
        <v/>
      </c>
      <c r="J135" s="35" t="inlineStr">
        <is>
          <t>国标
Tiêu chuẩn quốc gia (GB)</t>
        </is>
      </c>
    </row>
    <row r="136" ht="28" customHeight="1">
      <c r="A136" s="11" t="n">
        <v>124</v>
      </c>
      <c r="B136" s="12" t="inlineStr">
        <is>
          <t>安装辅材
Vật tư phụ lắp đặt</t>
        </is>
      </c>
      <c r="C136" s="35" t="inlineStr">
        <is>
          <t>线耳、扎带、电工胶布等
Đầu cos, dây rút, băng keo điện, v.v.</t>
        </is>
      </c>
      <c r="D136" s="11" t="inlineStr">
        <is>
          <t>项
Hạng mục</t>
        </is>
      </c>
      <c r="E136" s="36" t="n">
        <v>1</v>
      </c>
      <c r="F136" s="15" t="n"/>
      <c r="G136" s="15" t="n"/>
      <c r="H136" s="15">
        <f>F136+G136</f>
        <v/>
      </c>
      <c r="I136" s="13">
        <f>E136*H136</f>
        <v/>
      </c>
      <c r="J136" s="35" t="inlineStr">
        <is>
          <t>国标
Tiêu chuẩn quốc gia (GB)</t>
        </is>
      </c>
    </row>
    <row r="137">
      <c r="A137" s="37" t="n"/>
      <c r="B137" s="38" t="inlineStr">
        <is>
          <t>小计 / Cộng</t>
        </is>
      </c>
      <c r="C137" s="37" t="n"/>
      <c r="D137" s="37" t="n"/>
      <c r="E137" s="37" t="n"/>
      <c r="F137" s="37" t="n"/>
      <c r="G137" s="37" t="n"/>
      <c r="H137" s="37" t="n"/>
      <c r="I137" s="39">
        <f>SUM(I119:I136)</f>
        <v/>
      </c>
      <c r="J137" s="37" t="n"/>
    </row>
    <row r="138" ht="28" customHeight="1">
      <c r="A138" s="33" t="inlineStr">
        <is>
          <t>五、
V.</t>
        </is>
      </c>
      <c r="B138" s="34" t="inlineStr">
        <is>
          <t>空调自控系统 / Hệ thống tự động điều khiển điều hòa</t>
        </is>
      </c>
      <c r="C138" s="34" t="n"/>
      <c r="D138" s="34" t="n"/>
      <c r="E138" s="34" t="n"/>
      <c r="F138" s="34" t="n"/>
      <c r="G138" s="34" t="n"/>
      <c r="H138" s="34" t="n"/>
      <c r="I138" s="34" t="n"/>
      <c r="J138" s="34" t="n"/>
    </row>
    <row r="139" ht="131.5" customHeight="1">
      <c r="A139" s="11" t="n">
        <v>125</v>
      </c>
      <c r="B139" s="12" t="inlineStr">
        <is>
          <t>PLC自动控制柜
Tủ điều khiển tự động PLC
PLC-1F01～02</t>
        </is>
      </c>
      <c r="C139" s="35" t="inlineStr">
        <is>
          <t>1.名称：PLC自动控制柜
1. Tên: Tủ điều khiển tự động PLC
2.编号：PLC-1F01～02
2. Mã hiệu: PLC-1F01～02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39" s="11" t="inlineStr">
        <is>
          <t>台
Máy</t>
        </is>
      </c>
      <c r="E139" s="36" t="n">
        <v>2</v>
      </c>
      <c r="F139" s="15" t="n"/>
      <c r="G139" s="15" t="n"/>
      <c r="H139" s="15">
        <f>F139+G139</f>
        <v/>
      </c>
      <c r="I139" s="13">
        <f>E139*H139</f>
        <v/>
      </c>
      <c r="J139" s="35" t="inlineStr">
        <is>
          <t>PLC控制器：西门子
Bộ điều khiển PLC: Siemens (西门子)
触摸屏：昆仑通泰、海为
Màn hình cảm ứng: MCGS Kunlun Tongtai (昆仑通泰), Haiwell (海为)
电气元器件：ABB、施耐德
Linh kiện điện: ABB, Schneider (施耐德)</t>
        </is>
      </c>
    </row>
    <row r="140" ht="131.5" customHeight="1">
      <c r="A140" s="11" t="n">
        <v>126</v>
      </c>
      <c r="B140" s="12" t="inlineStr">
        <is>
          <t>PLC自动控制柜
Tủ điều khiển tự động PLC
PLC-1F03～04</t>
        </is>
      </c>
      <c r="C140" s="35" t="inlineStr">
        <is>
          <t>1.名称：PLC自动控制柜
1. Tên: Tủ điều khiển tự động PLC
2.编号：PLC-1F03～04
2. Mã hiệu: PLC-1F03～04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40" s="11" t="inlineStr">
        <is>
          <t>台
Máy</t>
        </is>
      </c>
      <c r="E140" s="36" t="n">
        <v>2</v>
      </c>
      <c r="F140" s="15" t="n"/>
      <c r="G140" s="15" t="n"/>
      <c r="H140" s="15">
        <f>F140+G140</f>
        <v/>
      </c>
      <c r="I140" s="13">
        <f>E140*H140</f>
        <v/>
      </c>
      <c r="J140" s="35" t="inlineStr">
        <is>
          <t>PLC控制器：西门子
Bộ điều khiển PLC: Siemens (西门子)
触摸屏：昆仑通泰、海为
Màn hình cảm ứng: MCGS Kunlun Tongtai (昆仑通泰), Haiwell (海为)
电气元器件：ABB、施耐德
Linh kiện điện: ABB, Schneider (施耐德)</t>
        </is>
      </c>
    </row>
    <row r="141" ht="131.5" customHeight="1">
      <c r="A141" s="11" t="n">
        <v>127</v>
      </c>
      <c r="B141" s="12" t="inlineStr">
        <is>
          <t>PLC自动控制柜
Tủ điều khiển tự động PLC
PLC-1F05</t>
        </is>
      </c>
      <c r="C141" s="35" t="inlineStr">
        <is>
          <t>1.名称：PLC自动控制柜
1. Tên: Tủ điều khiển tự động PLC
2.编号：PLC-1F05
2. Mã hiệu: PLC-1F05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41" s="11" t="inlineStr">
        <is>
          <t>台
Máy</t>
        </is>
      </c>
      <c r="E141" s="36" t="n">
        <v>1</v>
      </c>
      <c r="F141" s="15" t="n"/>
      <c r="G141" s="15" t="n"/>
      <c r="H141" s="15">
        <f>F141+G141</f>
        <v/>
      </c>
      <c r="I141" s="13">
        <f>E141*H141</f>
        <v/>
      </c>
      <c r="J141" s="35" t="inlineStr">
        <is>
          <t>PLC控制器：西门子
Bộ điều khiển PLC: Siemens (西门子)
触摸屏：昆仑通泰、海为
Màn hình cảm ứng: MCGS Kunlun Tongtai (昆仑通泰), Haiwell (海为)
电气元器件：ABB、施耐德
Linh kiện điện: ABB, Schneider (施耐德)</t>
        </is>
      </c>
    </row>
    <row r="142" ht="131.5" customHeight="1">
      <c r="A142" s="11" t="n">
        <v>128</v>
      </c>
      <c r="B142" s="12" t="inlineStr">
        <is>
          <t>PLC自动控制柜
Tủ điều khiển tự động PLC
PLC-1F06</t>
        </is>
      </c>
      <c r="C142" s="35" t="inlineStr">
        <is>
          <t>1.名称：PLC自动控制柜
1. Tên: Tủ điều khiển tự động PLC
2.编号：PLC-1F06
2. Mã hiệu: PLC-1F06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42" s="11" t="inlineStr">
        <is>
          <t>台
Máy</t>
        </is>
      </c>
      <c r="E142" s="36" t="n">
        <v>1</v>
      </c>
      <c r="F142" s="15" t="n"/>
      <c r="G142" s="15" t="n"/>
      <c r="H142" s="15">
        <f>F142+G142</f>
        <v/>
      </c>
      <c r="I142" s="13">
        <f>E142*H142</f>
        <v/>
      </c>
      <c r="J142" s="35" t="inlineStr">
        <is>
          <t>PLC控制器：西门子
Bộ điều khiển PLC: Siemens (西门子)
触摸屏：昆仑通泰、海为
Màn hình cảm ứng: MCGS Kunlun Tongtai (昆仑通泰), Haiwell (海为)
电气元器件：ABB、施耐德
Linh kiện điện: ABB, Schneider (施耐德)</t>
        </is>
      </c>
    </row>
    <row r="143" ht="131.5" customHeight="1">
      <c r="A143" s="11" t="n">
        <v>129</v>
      </c>
      <c r="B143" s="12" t="inlineStr">
        <is>
          <t>PLC自动控制柜
Tủ điều khiển tự động PLC
PLC-1F07～08</t>
        </is>
      </c>
      <c r="C143" s="35" t="inlineStr">
        <is>
          <t>1.名称：PLC自动控制柜
1. Tên: Tủ điều khiển tự động PLC
2.编号：PLC-1F07～08
2. Mã hiệu: PLC-1F07～08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43" s="11" t="inlineStr">
        <is>
          <t>台
Máy</t>
        </is>
      </c>
      <c r="E143" s="36" t="n">
        <v>2</v>
      </c>
      <c r="F143" s="15" t="n"/>
      <c r="G143" s="15" t="n"/>
      <c r="H143" s="15">
        <f>F143+G143</f>
        <v/>
      </c>
      <c r="I143" s="13">
        <f>E143*H143</f>
        <v/>
      </c>
      <c r="J143" s="35" t="inlineStr">
        <is>
          <t>PLC控制器：西门子
Bộ điều khiển PLC: Siemens (西门子)
触摸屏：昆仑通泰、海为
Màn hình cảm ứng: MCGS Kunlun Tongtai (昆仑通泰), Haiwell (海为)
电气元器件：ABB、施耐德
Linh kiện điện: ABB, Schneider (施耐德)</t>
        </is>
      </c>
    </row>
    <row r="144" ht="39.5" customHeight="1">
      <c r="A144" s="11" t="n">
        <v>130</v>
      </c>
      <c r="B144" s="12" t="inlineStr">
        <is>
          <t>现场系统调试，技术指导
Chạy thử hệ thống tại hiện trường, hướng dẫn kỹ thuật</t>
        </is>
      </c>
      <c r="C144" s="35" t="inlineStr">
        <is>
          <t>现场调试，校验，数值验证，技术安装指导等
Chạy thử tại hiện trường, hiệu chuẩn, xác minh số liệu, hướng dẫn kỹ thuật lắp đặt, v.v.</t>
        </is>
      </c>
      <c r="D144" s="11" t="inlineStr">
        <is>
          <t>项
Hạng mục</t>
        </is>
      </c>
      <c r="E144" s="36" t="n">
        <v>1</v>
      </c>
      <c r="F144" s="15" t="n"/>
      <c r="G144" s="15" t="n"/>
      <c r="H144" s="15">
        <f>F144+G144</f>
        <v/>
      </c>
      <c r="I144" s="13">
        <f>E144*H144</f>
        <v/>
      </c>
      <c r="J144" s="35" t="n"/>
    </row>
    <row r="145" ht="120" customHeight="1">
      <c r="A145" s="11" t="n">
        <v>131</v>
      </c>
      <c r="B145" s="12" t="inlineStr">
        <is>
          <t>风管式温湿度传感器
Cảm biến nhiệt độ - độ ẩm kiểu lắp ống gió</t>
        </is>
      </c>
      <c r="C145" s="35" t="inlineStr">
        <is>
          <t>1.供电电源：24VDC
1. Nguồn cấp điện: 24VDC
2.精度：温度0.3℃@40℃，湿度±2%
2. Độ chính xác: nhiệt độ 0.3℃@40℃, độ ẩm ±2%
3.信号输出：4-20mA
3. Tín hiệu đầu ra: 4-20mA
4.安装方式：插入式
4. Phương thức lắp đặt: Kiểu cắm (nhúng)
5.附件：配底座
5. Phụ kiện: Kèm đế</t>
        </is>
      </c>
      <c r="D145" s="11" t="inlineStr">
        <is>
          <t>个
Cái</t>
        </is>
      </c>
      <c r="E145" s="36" t="n">
        <v>13</v>
      </c>
      <c r="F145" s="15" t="n"/>
      <c r="G145" s="15" t="n"/>
      <c r="H145" s="15">
        <f>F145+G145</f>
        <v/>
      </c>
      <c r="I145" s="13">
        <f>E145*H145</f>
        <v/>
      </c>
      <c r="J145" s="35" t="n"/>
    </row>
    <row r="146" ht="120" customHeight="1">
      <c r="A146" s="11" t="n">
        <v>132</v>
      </c>
      <c r="B146" s="12" t="inlineStr">
        <is>
          <t>风管式温湿度传感器
Cảm biến nhiệt độ - độ ẩm kiểu lắp ống gió</t>
        </is>
      </c>
      <c r="C146" s="35" t="inlineStr">
        <is>
          <t>1.供电电源：24VDC
1. Nguồn cấp điện: 24VDC
2.精度：温度0.3℃@25℃，湿度±2%
2. Độ chính xác: nhiệt độ 0.3℃@25℃, độ ẩm ±2%
3.信号输出：4-20mA
3. Tín hiệu đầu ra: 4-20mA
4.安装方式：插入式
4. Phương thức lắp đặt: Kiểu cắm (nhúng)
5.附件：配底座
5. Phụ kiện: Kèm đế</t>
        </is>
      </c>
      <c r="D146" s="11" t="inlineStr">
        <is>
          <t>个
Cái</t>
        </is>
      </c>
      <c r="E146" s="36" t="n">
        <v>92</v>
      </c>
      <c r="F146" s="15" t="n"/>
      <c r="G146" s="15" t="n"/>
      <c r="H146" s="15">
        <f>F146+G146</f>
        <v/>
      </c>
      <c r="I146" s="13">
        <f>E146*H146</f>
        <v/>
      </c>
      <c r="J146" s="35" t="n"/>
    </row>
    <row r="147" ht="143" customHeight="1">
      <c r="A147" s="11" t="n">
        <v>133</v>
      </c>
      <c r="B147" s="12" t="inlineStr">
        <is>
          <t>风管式压力传感器
Cảm biến áp suất kiểu lắp ống gió</t>
        </is>
      </c>
      <c r="C147" s="35" t="inlineStr">
        <is>
          <t>1.供电电源：24VDC
1. Nguồn cấp điện: 24VDC
2.量程：0～1000Pa
2. Dải đo: 0～1000Pa
3.精度：±1%
3. Độ chính xác: ±1%
4.信号输出：4-20mA
4. Tín hiệu đầu ra: 4-20mA
5.安装方式：插入式
5. Phương thức lắp đặt: Kiểu cắm (nhúng)
6.附件：配底座
6. Phụ kiện: Kèm đế</t>
        </is>
      </c>
      <c r="D147" s="11" t="inlineStr">
        <is>
          <t>个
Cái</t>
        </is>
      </c>
      <c r="E147" s="36" t="n">
        <v>48</v>
      </c>
      <c r="F147" s="15" t="n"/>
      <c r="G147" s="15" t="n"/>
      <c r="H147" s="15">
        <f>F147+G147</f>
        <v/>
      </c>
      <c r="I147" s="13">
        <f>E147*H147</f>
        <v/>
      </c>
      <c r="J147" s="35" t="n"/>
    </row>
    <row r="148" ht="143" customHeight="1">
      <c r="A148" s="11" t="n">
        <v>134</v>
      </c>
      <c r="B148" s="12" t="inlineStr">
        <is>
          <t>压差开关报警传感器
Cảm biến báo động công tắc chênh áp</t>
        </is>
      </c>
      <c r="C148" s="35" t="inlineStr">
        <is>
          <t>1.供电电源：24VDC
1. Nguồn cấp điện: 24VDC
2.量程：0～200Pa
2. Dải đo: 0～200Pa
3.精度：±1%
3. Độ chính xác: ±1%
4.信号输出：4-20mA
4. Tín hiệu đầu ra: 4-20mA
5.安装方式：插入式
5. Phương thức lắp đặt: Kiểu cắm (nhúng)
6.附件：配底座
6. Phụ kiện: Kèm đế</t>
        </is>
      </c>
      <c r="D148" s="11" t="inlineStr">
        <is>
          <t>个
Cái</t>
        </is>
      </c>
      <c r="E148" s="36" t="n">
        <v>96</v>
      </c>
      <c r="F148" s="15" t="n"/>
      <c r="G148" s="15" t="n"/>
      <c r="H148" s="15">
        <f>F148+G148</f>
        <v/>
      </c>
      <c r="I148" s="13">
        <f>E148*H148</f>
        <v/>
      </c>
      <c r="J148" s="35" t="n"/>
    </row>
    <row r="149" ht="51" customHeight="1">
      <c r="A149" s="11" t="n">
        <v>135</v>
      </c>
      <c r="B149" s="12" t="inlineStr">
        <is>
          <t>空气处理机组液晶温控面板
Bảng điều khiển nhiệt độ màn hình LCD cho cụm xử lý không khí</t>
        </is>
      </c>
      <c r="C149" s="35" t="inlineStr">
        <is>
          <t>1.名称：液晶温控面板
1. Tên: Bảng điều khiển nhiệt độ màn hình LCD
2.规格：模拟调节型
2. Quy cách: Loại điều chỉnh tuyến tính (analog)</t>
        </is>
      </c>
      <c r="D149" s="11" t="inlineStr">
        <is>
          <t>个
Cái</t>
        </is>
      </c>
      <c r="E149" s="36" t="n">
        <v>48</v>
      </c>
      <c r="F149" s="15" t="n"/>
      <c r="G149" s="15" t="n"/>
      <c r="H149" s="15">
        <f>F149+G149</f>
        <v/>
      </c>
      <c r="I149" s="13">
        <f>E149*H149</f>
        <v/>
      </c>
      <c r="J149" s="35" t="inlineStr">
        <is>
          <t>江森、霍尼韦尔
Johnson Controls (江森), Honeywell (霍尼韦尔)</t>
        </is>
      </c>
    </row>
    <row r="150" ht="51" customHeight="1">
      <c r="A150" s="11" t="n">
        <v>136</v>
      </c>
      <c r="B150" s="12" t="inlineStr">
        <is>
          <t>风机盘管液晶温控面板
Bảng điều khiển nhiệt độ màn hình LCD cho dàn quạt lạnh (FCU)</t>
        </is>
      </c>
      <c r="C150" s="35" t="inlineStr">
        <is>
          <t>1.名称：液晶温控面板
1. Tên: Bảng điều khiển nhiệt độ màn hình LCD
2.规格：开关型
2. Quy cách: Loại đóng/ngắt (on/off)</t>
        </is>
      </c>
      <c r="D150" s="11" t="inlineStr">
        <is>
          <t>个
Cái</t>
        </is>
      </c>
      <c r="E150" s="36" t="n">
        <v>58</v>
      </c>
      <c r="F150" s="15" t="n"/>
      <c r="G150" s="15" t="n"/>
      <c r="H150" s="15">
        <f>F150+G150</f>
        <v/>
      </c>
      <c r="I150" s="13">
        <f>E150*H150</f>
        <v/>
      </c>
      <c r="J150" s="35" t="inlineStr">
        <is>
          <t>江森、霍尼韦尔
Johnson Controls (江森), Honeywell (霍尼韦尔)</t>
        </is>
      </c>
    </row>
    <row r="151" ht="74" customHeight="1">
      <c r="A151" s="11" t="n">
        <v>137</v>
      </c>
      <c r="B151" s="12" t="inlineStr">
        <is>
          <t>控制线缆
Cáp điều khiển</t>
        </is>
      </c>
      <c r="C151" s="35" t="inlineStr">
        <is>
          <t>1.名称:控制线缆
1. Tên: Cáp điều khiển
2.规格:RVV-7*0.75
2. Quy cách: RVV-7*0.75
3.材质:铜芯
3. Vật liệu: Lõi đồng</t>
        </is>
      </c>
      <c r="D151" s="11" t="inlineStr">
        <is>
          <t>m</t>
        </is>
      </c>
      <c r="E151" s="36" t="n">
        <v>558</v>
      </c>
      <c r="F151" s="15" t="n"/>
      <c r="G151" s="15" t="n"/>
      <c r="H151" s="15">
        <f>F151+G151</f>
        <v/>
      </c>
      <c r="I151" s="13">
        <f>E151*H151</f>
        <v/>
      </c>
      <c r="J151" s="35" t="inlineStr">
        <is>
          <t>深圳成天泰，南洋，LS,Taya
Shenzhen Chengtiantai (深圳成天泰), Nanyang (南洋), LS, Taya</t>
        </is>
      </c>
    </row>
    <row r="152" ht="74" customHeight="1">
      <c r="A152" s="11" t="n">
        <v>138</v>
      </c>
      <c r="B152" s="12" t="inlineStr">
        <is>
          <t>控制线缆
Cáp điều khiển</t>
        </is>
      </c>
      <c r="C152" s="35" t="inlineStr">
        <is>
          <t>1.名称:控制线缆
1. Tên: Cáp điều khiển
2.规格:RVV-6*1.0
2. Quy cách: RVV-6*1.0
3.材质:铜芯
3. Vật liệu: Lõi đồng</t>
        </is>
      </c>
      <c r="D152" s="11" t="inlineStr">
        <is>
          <t>m</t>
        </is>
      </c>
      <c r="E152" s="36" t="n">
        <v>221</v>
      </c>
      <c r="F152" s="15" t="n"/>
      <c r="G152" s="15" t="n"/>
      <c r="H152" s="15">
        <f>F152+G152</f>
        <v/>
      </c>
      <c r="I152" s="13">
        <f>E152*H152</f>
        <v/>
      </c>
      <c r="J152" s="35" t="inlineStr">
        <is>
          <t>深圳成天泰，南洋，LS,Taya
Shenzhen Chengtiantai (深圳成天泰), Nanyang (南洋), LS, Taya</t>
        </is>
      </c>
    </row>
    <row r="153" ht="74" customHeight="1">
      <c r="A153" s="11" t="n">
        <v>139</v>
      </c>
      <c r="B153" s="12" t="inlineStr">
        <is>
          <t>控制线缆
Cáp điều khiển</t>
        </is>
      </c>
      <c r="C153" s="35" t="inlineStr">
        <is>
          <t>1.名称:控制线缆
1. Tên: Cáp điều khiển
2.规格:RVV-4*1.0
2. Quy cách: RVV-4*1.0
3.材质:铜芯
3. Vật liệu: Lõi đồng</t>
        </is>
      </c>
      <c r="D153" s="11" t="inlineStr">
        <is>
          <t>m</t>
        </is>
      </c>
      <c r="E153" s="36" t="n">
        <v>7712</v>
      </c>
      <c r="F153" s="15" t="n"/>
      <c r="G153" s="15" t="n"/>
      <c r="H153" s="15">
        <f>F153+G153</f>
        <v/>
      </c>
      <c r="I153" s="13">
        <f>E153*H153</f>
        <v/>
      </c>
      <c r="J153" s="35" t="inlineStr">
        <is>
          <t>深圳成天泰，南洋，LS,Taya
Shenzhen Chengtiantai (深圳成天泰), Nanyang (南洋), LS, Taya</t>
        </is>
      </c>
    </row>
    <row r="154" ht="74" customHeight="1">
      <c r="A154" s="11" t="n">
        <v>140</v>
      </c>
      <c r="B154" s="12" t="inlineStr">
        <is>
          <t>控制线缆
Cáp điều khiển</t>
        </is>
      </c>
      <c r="C154" s="35" t="inlineStr">
        <is>
          <t>1.名称:控制线缆
1. Tên: Cáp điều khiển
2.规格:RVV-2*1.0
2. Quy cách: RVV-2*1.0
3.材质:铜芯
3. Vật liệu: Lõi đồng</t>
        </is>
      </c>
      <c r="D154" s="11" t="inlineStr">
        <is>
          <t>m</t>
        </is>
      </c>
      <c r="E154" s="36" t="n">
        <v>3852</v>
      </c>
      <c r="F154" s="15" t="n"/>
      <c r="G154" s="15" t="n"/>
      <c r="H154" s="15">
        <f>F154+G154</f>
        <v/>
      </c>
      <c r="I154" s="13">
        <f>E154*H154</f>
        <v/>
      </c>
      <c r="J154" s="35" t="inlineStr">
        <is>
          <t>深圳成天泰，南洋，LS,Taya
Shenzhen Chengtiantai (深圳成天泰), Nanyang (南洋), LS, Taya</t>
        </is>
      </c>
    </row>
    <row r="155" ht="74" customHeight="1">
      <c r="A155" s="11" t="n">
        <v>141</v>
      </c>
      <c r="B155" s="12" t="inlineStr">
        <is>
          <t>控制线缆
Cáp điều khiển</t>
        </is>
      </c>
      <c r="C155" s="35" t="inlineStr">
        <is>
          <t>1.名称:控制线缆
1. Tên: Cáp điều khiển
2.规格:RVVP-6*1.0
2. Quy cách: RVVP-6*1.0
3.材质:铜芯
3. Vật liệu: Lõi đồng</t>
        </is>
      </c>
      <c r="D155" s="11" t="inlineStr">
        <is>
          <t>m</t>
        </is>
      </c>
      <c r="E155" s="36" t="n">
        <v>6062</v>
      </c>
      <c r="F155" s="15" t="n"/>
      <c r="G155" s="15" t="n"/>
      <c r="H155" s="15">
        <f>F155+G155</f>
        <v/>
      </c>
      <c r="I155" s="13">
        <f>E155*H155</f>
        <v/>
      </c>
      <c r="J155" s="35" t="inlineStr">
        <is>
          <t>深圳成天泰，南洋，LS,Taya
Shenzhen Chengtiantai (深圳成天泰), Nanyang (南洋), LS, Taya</t>
        </is>
      </c>
    </row>
    <row r="156" ht="74" customHeight="1">
      <c r="A156" s="11" t="n">
        <v>142</v>
      </c>
      <c r="B156" s="12" t="inlineStr">
        <is>
          <t>控制线缆
Cáp điều khiển</t>
        </is>
      </c>
      <c r="C156" s="35" t="inlineStr">
        <is>
          <t>1.名称:控制线缆
1. Tên: Cáp điều khiển
2.规格:RVVP-4*1.0
2. Quy cách: RVVP-4*1.0
3.材质:铜芯
3. Vật liệu: Lõi đồng</t>
        </is>
      </c>
      <c r="D156" s="11" t="inlineStr">
        <is>
          <t>m</t>
        </is>
      </c>
      <c r="E156" s="36" t="n">
        <v>4939</v>
      </c>
      <c r="F156" s="15" t="n"/>
      <c r="G156" s="15" t="n"/>
      <c r="H156" s="15">
        <f>F156+G156</f>
        <v/>
      </c>
      <c r="I156" s="13">
        <f>E156*H156</f>
        <v/>
      </c>
      <c r="J156" s="35" t="inlineStr">
        <is>
          <t>深圳成天泰，南洋，LS,Taya
Shenzhen Chengtiantai (深圳成天泰), Nanyang (南洋), LS, Taya</t>
        </is>
      </c>
    </row>
    <row r="157" ht="74" customHeight="1">
      <c r="A157" s="11" t="n">
        <v>143</v>
      </c>
      <c r="B157" s="12" t="inlineStr">
        <is>
          <t>控制线缆
Cáp điều khiển</t>
        </is>
      </c>
      <c r="C157" s="35" t="inlineStr">
        <is>
          <t>1.名称:控制线缆
1. Tên: Cáp điều khiển
2.规格:RVVP-2*1.0
2. Quy cách: RVVP-2*1.0
3.材质:铜芯
3. Vật liệu: Lõi đồng</t>
        </is>
      </c>
      <c r="D157" s="11" t="inlineStr">
        <is>
          <t>m</t>
        </is>
      </c>
      <c r="E157" s="36" t="n">
        <v>3936</v>
      </c>
      <c r="F157" s="15" t="n"/>
      <c r="G157" s="15" t="n"/>
      <c r="H157" s="15">
        <f>F157+G157</f>
        <v/>
      </c>
      <c r="I157" s="13">
        <f>E157*H157</f>
        <v/>
      </c>
      <c r="J157" s="35" t="inlineStr">
        <is>
          <t>深圳成天泰，南洋，LS,Taya
Shenzhen Chengtiantai (深圳成天泰), Nanyang (南洋), LS, Taya</t>
        </is>
      </c>
    </row>
    <row r="158" ht="97" customHeight="1">
      <c r="A158" s="11" t="n">
        <v>144</v>
      </c>
      <c r="B158" s="12" t="inlineStr">
        <is>
          <t>镀锌线槽
Máng cáp mạ kẽm</t>
        </is>
      </c>
      <c r="C158" s="35" t="inlineStr">
        <is>
          <t>1.名称:镀锌线槽
1. Tên: Máng cáp mạ kẽm
2.规格：200*100*1.0mm
2. Quy cách: 200*100*1.0mm
3.材质：镀锌钢板
3. Vật liệu: Thép tấm mạ kẽm
4.含配件
4. Gồm phụ kiện</t>
        </is>
      </c>
      <c r="D158" s="11" t="inlineStr">
        <is>
          <t>m</t>
        </is>
      </c>
      <c r="E158" s="36" t="n">
        <v>490</v>
      </c>
      <c r="F158" s="15" t="n"/>
      <c r="G158" s="15" t="n"/>
      <c r="H158" s="15">
        <f>F158+G158</f>
        <v/>
      </c>
      <c r="I158" s="13">
        <f>E158*H158</f>
        <v/>
      </c>
      <c r="J158" s="35" t="inlineStr">
        <is>
          <t>国产优质
Hàng sản xuất trong nước chất lượng cao</t>
        </is>
      </c>
    </row>
    <row r="159" ht="97" customHeight="1">
      <c r="A159" s="11" t="n">
        <v>145</v>
      </c>
      <c r="B159" s="12" t="inlineStr">
        <is>
          <t>PVC线管
Ống luồn dây điện PVC</t>
        </is>
      </c>
      <c r="C159" s="35" t="inlineStr">
        <is>
          <t>1.名称:PVC线管
1. Tên: Ống luồn dây điện PVC
2.规格：Φ25
2. Quy cách: Φ25
3.材质：U-PVC硬管
3. Vật liệu: Ống cứng U-PVC
4.含配件
4. Gồm phụ kiện</t>
        </is>
      </c>
      <c r="D159" s="11" t="inlineStr">
        <is>
          <t>m</t>
        </is>
      </c>
      <c r="E159" s="36" t="n">
        <v>2620</v>
      </c>
      <c r="F159" s="15" t="n"/>
      <c r="G159" s="15" t="n"/>
      <c r="H159" s="15">
        <f>F159+G159</f>
        <v/>
      </c>
      <c r="I159" s="13">
        <f>E159*H159</f>
        <v/>
      </c>
      <c r="J159" s="35" t="inlineStr">
        <is>
          <t>联塑、日丰
Lesso (联塑), Rifeng (日丰)</t>
        </is>
      </c>
    </row>
    <row r="160" ht="51" customHeight="1">
      <c r="A160" s="11" t="n">
        <v>146</v>
      </c>
      <c r="B160" s="12" t="inlineStr">
        <is>
          <t>控制柜钢构支架
Giá đỡ kết cấu thép tủ điều khiển</t>
        </is>
      </c>
      <c r="C160" s="35" t="inlineStr">
        <is>
          <t>1.形式:钢构支架
1. Hình thức: Giá đỡ kết cấu thép
2.材质:镀锌槽钢
2. Vật liệu: Thép chữ U mạ kẽm</t>
        </is>
      </c>
      <c r="D160" s="11" t="inlineStr">
        <is>
          <t>kg</t>
        </is>
      </c>
      <c r="E160" s="40" t="n">
        <v>413.8</v>
      </c>
      <c r="F160" s="15" t="n"/>
      <c r="G160" s="15" t="n"/>
      <c r="H160" s="15">
        <f>F160+G160</f>
        <v/>
      </c>
      <c r="I160" s="13">
        <f>E160*H160</f>
        <v/>
      </c>
      <c r="J160" s="35" t="inlineStr">
        <is>
          <t>国标
Tiêu chuẩn quốc gia (GB)</t>
        </is>
      </c>
    </row>
    <row r="161" ht="51" customHeight="1">
      <c r="A161" s="11" t="n">
        <v>147</v>
      </c>
      <c r="B161" s="12" t="inlineStr">
        <is>
          <t>线槽支吊架
Giá treo đỡ máng cáp</t>
        </is>
      </c>
      <c r="C161" s="35" t="inlineStr">
        <is>
          <t>1.形式:吊托支架
1. Hình thức: Giá treo đỡ
2.材质:镀锌角钢、丝杆
2. Vật liệu: Thép góc mạ kẽm, ty ren</t>
        </is>
      </c>
      <c r="D161" s="11" t="inlineStr">
        <is>
          <t>kg</t>
        </is>
      </c>
      <c r="E161" s="40" t="n">
        <v>5924.1</v>
      </c>
      <c r="F161" s="15" t="n"/>
      <c r="G161" s="15" t="n"/>
      <c r="H161" s="15">
        <f>F161+G161</f>
        <v/>
      </c>
      <c r="I161" s="13">
        <f>E161*H161</f>
        <v/>
      </c>
      <c r="J161" s="35" t="inlineStr">
        <is>
          <t>国标
Tiêu chuẩn quốc gia (GB)</t>
        </is>
      </c>
    </row>
    <row r="162" ht="28" customHeight="1">
      <c r="A162" s="11" t="n">
        <v>148</v>
      </c>
      <c r="B162" s="12" t="inlineStr">
        <is>
          <t>安装辅材
Vật tư phụ lắp đặt</t>
        </is>
      </c>
      <c r="C162" s="35" t="inlineStr">
        <is>
          <t>线耳、扎带、电工胶布等
Đầu cos, dây rút, băng keo điện, v.v.</t>
        </is>
      </c>
      <c r="D162" s="11" t="inlineStr">
        <is>
          <t>项
Hạng mục</t>
        </is>
      </c>
      <c r="E162" s="36" t="n">
        <v>1</v>
      </c>
      <c r="F162" s="15" t="n"/>
      <c r="G162" s="15" t="n"/>
      <c r="H162" s="15">
        <f>F162+G162</f>
        <v/>
      </c>
      <c r="I162" s="13">
        <f>E162*H162</f>
        <v/>
      </c>
      <c r="J162" s="35" t="inlineStr">
        <is>
          <t>国标
Tiêu chuẩn quốc gia (GB)</t>
        </is>
      </c>
    </row>
    <row r="163">
      <c r="A163" s="37" t="n"/>
      <c r="B163" s="38" t="inlineStr">
        <is>
          <t>小计 / Cộng</t>
        </is>
      </c>
      <c r="C163" s="37" t="n"/>
      <c r="D163" s="37" t="n"/>
      <c r="E163" s="37" t="n"/>
      <c r="F163" s="37" t="n"/>
      <c r="G163" s="37" t="n"/>
      <c r="H163" s="37" t="n"/>
      <c r="I163" s="39">
        <f>SUM(I139:I162)</f>
        <v/>
      </c>
      <c r="J163" s="37" t="n"/>
    </row>
    <row r="164" ht="28" customHeight="1">
      <c r="A164" s="33" t="inlineStr">
        <is>
          <t>六、
VI.</t>
        </is>
      </c>
      <c r="B164" s="34" t="inlineStr">
        <is>
          <t>其他部分 / Phần khác</t>
        </is>
      </c>
      <c r="C164" s="34" t="n"/>
      <c r="D164" s="34" t="n"/>
      <c r="E164" s="34" t="n"/>
      <c r="F164" s="34" t="n"/>
      <c r="G164" s="34" t="n"/>
      <c r="H164" s="34" t="n"/>
      <c r="I164" s="34" t="n"/>
      <c r="J164" s="34" t="n"/>
    </row>
    <row r="165" ht="28" customHeight="1">
      <c r="A165" s="11" t="n">
        <v>149</v>
      </c>
      <c r="B165" s="12" t="inlineStr">
        <is>
          <t>搬运及吊车费
Chi phí vận chuyển và xe cẩu</t>
        </is>
      </c>
      <c r="C165" s="35" t="n"/>
      <c r="D165" s="11" t="inlineStr">
        <is>
          <t>项
Hạng mục</t>
        </is>
      </c>
      <c r="E165" s="36" t="n">
        <v>1</v>
      </c>
      <c r="F165" s="15" t="n"/>
      <c r="G165" s="15" t="n"/>
      <c r="H165" s="15">
        <f>F165+G165</f>
        <v/>
      </c>
      <c r="I165" s="13">
        <f>E165*H165</f>
        <v/>
      </c>
      <c r="J165" s="35" t="n"/>
    </row>
    <row r="166" ht="39.5" customHeight="1">
      <c r="A166" s="11" t="n">
        <v>150</v>
      </c>
      <c r="B166" s="12" t="inlineStr">
        <is>
          <t>脚手架搭拆费
Chi phí lắp dựng và tháo dỡ giàn giáo</t>
        </is>
      </c>
      <c r="C166" s="35" t="n"/>
      <c r="D166" s="11" t="inlineStr">
        <is>
          <t>项
Hạng mục</t>
        </is>
      </c>
      <c r="E166" s="36" t="n">
        <v>1</v>
      </c>
      <c r="F166" s="15" t="n"/>
      <c r="G166" s="15" t="n"/>
      <c r="H166" s="15">
        <f>F166+G166</f>
        <v/>
      </c>
      <c r="I166" s="13">
        <f>E166*H166</f>
        <v/>
      </c>
      <c r="J166" s="35" t="n"/>
    </row>
    <row r="167">
      <c r="A167" s="37" t="n"/>
      <c r="B167" s="38" t="inlineStr">
        <is>
          <t>小计 / Cộng</t>
        </is>
      </c>
      <c r="C167" s="37" t="n"/>
      <c r="D167" s="37" t="n"/>
      <c r="E167" s="37" t="n"/>
      <c r="F167" s="37" t="n"/>
      <c r="G167" s="37" t="n"/>
      <c r="H167" s="37" t="n"/>
      <c r="I167" s="39">
        <f>SUM(I165:I166)</f>
        <v/>
      </c>
      <c r="J167" s="37" t="n"/>
    </row>
    <row r="168" ht="32" customHeight="1">
      <c r="A168" s="41" t="inlineStr">
        <is>
          <t>合计（一+二+三+四+五+六）：
Tổng cộng (I+II+III+IV+V+VI):</t>
        </is>
      </c>
      <c r="B168" s="42" t="n"/>
      <c r="C168" s="42" t="n"/>
      <c r="D168" s="42" t="n"/>
      <c r="E168" s="42" t="n"/>
      <c r="F168" s="42" t="n"/>
      <c r="G168" s="42" t="n"/>
      <c r="H168" s="42" t="n"/>
      <c r="I168" s="43">
        <f>I24+I65+I117+I137+I163+I167</f>
        <v/>
      </c>
      <c r="J168" s="42" t="n"/>
    </row>
  </sheetData>
  <mergeCells count="26">
    <mergeCell ref="B137:H137"/>
    <mergeCell ref="F4:G4"/>
    <mergeCell ref="C4:C5"/>
    <mergeCell ref="B65:H65"/>
    <mergeCell ref="E4:E5"/>
    <mergeCell ref="B24:H24"/>
    <mergeCell ref="A168:H168"/>
    <mergeCell ref="B163:H163"/>
    <mergeCell ref="D4:D5"/>
    <mergeCell ref="J4:J5"/>
    <mergeCell ref="B118:J118"/>
    <mergeCell ref="B6:J6"/>
    <mergeCell ref="A1:G1"/>
    <mergeCell ref="B164:J164"/>
    <mergeCell ref="A4:A5"/>
    <mergeCell ref="I4:I5"/>
    <mergeCell ref="B167:H167"/>
    <mergeCell ref="B117:H117"/>
    <mergeCell ref="B138:J138"/>
    <mergeCell ref="H1:J1"/>
    <mergeCell ref="B25:J25"/>
    <mergeCell ref="B4:B5"/>
    <mergeCell ref="B66:J66"/>
    <mergeCell ref="A3:J3"/>
    <mergeCell ref="H4:H5"/>
    <mergeCell ref="A2:J2"/>
  </mergeCells>
  <conditionalFormatting sqref="F6:G168">
    <cfRule type="expression" priority="1" dxfId="0">
      <formula>AND($E6&lt;&gt;"",ISNUMBER($A6),F6="")</formula>
    </cfRule>
  </conditionalFormatting>
  <printOptions horizontalCentered="1"/>
  <pageMargins left="0.4" right="0.4" top="0.5" bottom="0.6" header="0.5" footer="0.5"/>
  <pageSetup orientation="landscape" paperSize="9" fitToHeight="0" fitToWidth="1"/>
  <headerFooter>
    <oddHeader/>
    <oddFooter>&amp;L&amp;8 BLT – Báo giá 报价单 MEGA&amp;R&amp;8 Trang 页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143"/>
  <sheetViews>
    <sheetView showGridLines="0" workbookViewId="0">
      <pane ySplit="5" topLeftCell="A6" activePane="bottomLeft" state="frozen"/>
      <selection pane="bottomLeft" activeCell="A1" sqref="A1"/>
    </sheetView>
  </sheetViews>
  <sheetFormatPr baseColWidth="8" defaultRowHeight="15"/>
  <cols>
    <col width="6" customWidth="1" min="1" max="1"/>
    <col width="28" customWidth="1" min="2" max="2"/>
    <col width="64" customWidth="1" min="3" max="3"/>
    <col width="9" customWidth="1" min="4" max="4"/>
    <col width="11" customWidth="1" min="5" max="5"/>
    <col width="15" customWidth="1" min="6" max="6"/>
    <col width="15" customWidth="1" min="7" max="7"/>
    <col width="16" customWidth="1" min="8" max="8"/>
    <col width="19" customWidth="1" min="9" max="9"/>
    <col width="26" customWidth="1" min="10" max="10"/>
  </cols>
  <sheetData>
    <row r="1" ht="22" customHeight="1">
      <c r="A1" s="27" t="inlineStr">
        <is>
          <t>[CÔNG TY TNHH / CỔ PHẦN …] BLT</t>
        </is>
      </c>
      <c r="B1" s="28" t="n"/>
      <c r="C1" s="28" t="n"/>
      <c r="D1" s="28" t="n"/>
      <c r="E1" s="28" t="n"/>
      <c r="F1" s="28" t="n"/>
      <c r="G1" s="28" t="n"/>
      <c r="H1" s="29" t="inlineStr">
        <is>
          <t>BÁO GIÁ 报价单 – Số 编号: BG-BLT-2026/[..]</t>
        </is>
      </c>
      <c r="I1" s="28" t="n"/>
      <c r="J1" s="28" t="n"/>
    </row>
    <row r="2" ht="34" customHeight="1">
      <c r="A2" s="30" t="inlineStr">
        <is>
          <t>分部分项工程量清单与计价表
Bảng khối lượng và đơn giá các hạng mục công trình</t>
        </is>
      </c>
    </row>
    <row r="3" ht="34" customHeight="1">
      <c r="A3" s="31" t="inlineStr">
        <is>
          <t>工程名称：MS1一楼空调末端系统工程
Tên công trình: Công trình hệ thống thiết bị đầu cuối điều hòa MS1 tầng 1</t>
        </is>
      </c>
    </row>
    <row r="4" ht="30" customHeight="1">
      <c r="A4" s="32" t="inlineStr">
        <is>
          <t>序号
STT</t>
        </is>
      </c>
      <c r="B4" s="32" t="inlineStr">
        <is>
          <t>项目名称
Tên hạng mục</t>
        </is>
      </c>
      <c r="C4" s="32" t="inlineStr">
        <is>
          <t>项目特征描述
Mô tả đặc tính hạng mục</t>
        </is>
      </c>
      <c r="D4" s="32" t="inlineStr">
        <is>
          <t>计量单位
ĐVT</t>
        </is>
      </c>
      <c r="E4" s="32" t="inlineStr">
        <is>
          <t>工程量
Khối lượng</t>
        </is>
      </c>
      <c r="F4" s="32" t="inlineStr">
        <is>
          <t>综合单价组成 / Cấu thành đơn giá tổng hợp (VNĐ)</t>
        </is>
      </c>
      <c r="G4" s="32" t="n"/>
      <c r="H4" s="32" t="inlineStr">
        <is>
          <t>综合单价
Đơn giá tổng hợp
(VNĐ)</t>
        </is>
      </c>
      <c r="I4" s="32" t="inlineStr">
        <is>
          <t>合价
Thành tiền
(VNĐ)</t>
        </is>
      </c>
      <c r="J4" s="32" t="inlineStr">
        <is>
          <t>备注/品牌
Ghi chú / Thương hiệu</t>
        </is>
      </c>
    </row>
    <row r="5" ht="30" customHeight="1">
      <c r="A5" s="32" t="n"/>
      <c r="B5" s="32" t="n"/>
      <c r="C5" s="32" t="n"/>
      <c r="D5" s="32" t="n"/>
      <c r="E5" s="32" t="n"/>
      <c r="F5" s="32" t="inlineStr">
        <is>
          <t>材料单价
Đơn giá vật tư</t>
        </is>
      </c>
      <c r="G5" s="32" t="inlineStr">
        <is>
          <t>人工单价
Đơn giá nhân công</t>
        </is>
      </c>
      <c r="H5" s="32" t="n"/>
      <c r="I5" s="32" t="n"/>
      <c r="J5" s="32" t="n"/>
    </row>
    <row r="6" ht="28" customHeight="1">
      <c r="A6" s="33" t="inlineStr">
        <is>
          <t>一、
I.</t>
        </is>
      </c>
      <c r="B6" s="34" t="inlineStr">
        <is>
          <t>空调设备 / Thiết bị điều hòa</t>
        </is>
      </c>
      <c r="C6" s="34" t="n"/>
      <c r="D6" s="34" t="n"/>
      <c r="E6" s="34" t="n"/>
      <c r="F6" s="34" t="n"/>
      <c r="G6" s="34" t="n"/>
      <c r="H6" s="34" t="n"/>
      <c r="I6" s="34" t="n"/>
      <c r="J6" s="34" t="n"/>
    </row>
    <row r="7" ht="212" customHeight="1">
      <c r="A7" s="11" t="n">
        <v>1</v>
      </c>
      <c r="B7" s="12" t="inlineStr">
        <is>
          <t>吊顶式恒温恒湿空气处理机组
Cụm xử lý không khí (AHU) ổn định nhiệt độ - độ ẩm kiểu treo trần
AHU-300</t>
        </is>
      </c>
      <c r="C7" s="35" t="inlineStr">
        <is>
          <t>1.名称:吊顶式恒温恒湿空气处理机组
1. Tên: Cụm xử lý không khí (AHU) ổn định nhiệt độ - độ ẩm kiểu treo trần
2.编号:AHU-300
2. Mã hiệu: AHU-300
送风量30000m3/h，新风量3000m3/h，回风量27000m3/h，制冷量188kW，蒸汽加热量90kW，蒸汽加湿量45kg/h，机外静压500Pa，电机功率15kW，变频电机，输入电压380V/50Hz，重量约1342kg
Lưu lượng gió cấp 30000m3/h, lưu lượng gió tươi 3000m3/h, lưu lượng gió hồi 27000m3/h, công suất lạnh 188kW, công suất gia nhiệt bằng hơi nước 90kW, lượng tạo ẩm bằng hơi nước 45kg/h, áp suất tĩnh ngoài 500Pa, công suất động cơ 15kW, động cơ biến tần, điện áp đầu vào 380V/50Hz, trọng lượng khoảng 1342kg
3.功能段:新回风混合段+G4初效段+F7中效段+表冷段+加热段+加湿段+风机送风段
3. Các khoang chức năng: Khoang hòa trộn gió tươi - gió hồi + khoang lọc thô G4 + khoang lọc trung F7 + khoang coil làm lạnh + khoang gia nhiệt + khoang tạo ẩm + khoang quạt cấp gió
4.安装形式:吊顶式
4. Hình thức lắp đặt: Treo trần
5.其他:符合设计图纸以及施工规范要求
5. Khác: Phù hợp yêu cầu của bản vẽ thiết kế và quy phạm thi công</t>
        </is>
      </c>
      <c r="D7" s="11" t="inlineStr">
        <is>
          <t>台
Máy</t>
        </is>
      </c>
      <c r="E7" s="36" t="n">
        <v>4</v>
      </c>
      <c r="F7" s="15" t="n"/>
      <c r="G7" s="15" t="n"/>
      <c r="H7" s="15">
        <f>F7+G7</f>
        <v/>
      </c>
      <c r="I7" s="13">
        <f>E7*H7</f>
        <v/>
      </c>
      <c r="J7" s="35" t="inlineStr">
        <is>
          <t>麦克维尔、申菱
McQuay (麦克维尔), Shenling (申菱)</t>
        </is>
      </c>
    </row>
    <row r="8" ht="212" customHeight="1">
      <c r="A8" s="11" t="n">
        <v>2</v>
      </c>
      <c r="B8" s="12" t="inlineStr">
        <is>
          <t>吊顶式恒温恒湿空气处理机组
Cụm xử lý không khí (AHU) ổn định nhiệt độ - độ ẩm kiểu treo trần
AHU-200H</t>
        </is>
      </c>
      <c r="C8" s="35" t="inlineStr">
        <is>
          <t>1.名称:吊顶式恒温恒湿空气处理机组
1. Tên: Cụm xử lý không khí (AHU) ổn định nhiệt độ - độ ẩm kiểu treo trần
2.编号:AHU-200H
2. Mã hiệu: AHU-200H
送风量20000m3/h，新风量2000m3/h，回风量18000m3/h，制冷量124kW，蒸汽加热量60kW，蒸汽加湿量30kg/h，机外静压500Pa，电机功率11kW，变频电机，输入电压380V/50Hz，重量约1008kg
Lưu lượng gió cấp 20000m3/h, lưu lượng gió tươi 2000m3/h, lưu lượng gió hồi 18000m3/h, công suất lạnh 124kW, công suất gia nhiệt bằng hơi nước 60kW, lượng tạo ẩm bằng hơi nước 30kg/h, áp suất tĩnh ngoài 500Pa, công suất động cơ 11kW, động cơ biến tần, điện áp đầu vào 380V/50Hz, trọng lượng khoảng 1008kg
3.功能段:新回风混合段+G4初效段+F7中效段+表冷段+加热段+加湿段+风机送风段
3. Các khoang chức năng: Khoang hòa trộn gió tươi - gió hồi + khoang lọc thô G4 + khoang lọc trung F7 + khoang coil làm lạnh + khoang gia nhiệt + khoang tạo ẩm + khoang quạt cấp gió
4.安装形式:吊顶式
4. Hình thức lắp đặt: Treo trần
5.其他:符合设计图纸以及施工规范要求
5. Khác: Phù hợp yêu cầu của bản vẽ thiết kế và quy phạm thi công</t>
        </is>
      </c>
      <c r="D8" s="11" t="inlineStr">
        <is>
          <t>台
Máy</t>
        </is>
      </c>
      <c r="E8" s="36" t="n">
        <v>4</v>
      </c>
      <c r="F8" s="15" t="n"/>
      <c r="G8" s="15" t="n"/>
      <c r="H8" s="15">
        <f>F8+G8</f>
        <v/>
      </c>
      <c r="I8" s="13">
        <f>E8*H8</f>
        <v/>
      </c>
      <c r="J8" s="35" t="inlineStr">
        <is>
          <t>麦克维尔、申菱
McQuay (麦克维尔), Shenling (申菱)</t>
        </is>
      </c>
    </row>
    <row r="9" ht="200.5" customHeight="1">
      <c r="A9" s="11" t="n">
        <v>3</v>
      </c>
      <c r="B9" s="12" t="inlineStr">
        <is>
          <t>吊顶式恒温恒湿空气处理机组
Cụm xử lý không khí (AHU) ổn định nhiệt độ - độ ẩm kiểu treo trần
AHU-200</t>
        </is>
      </c>
      <c r="C9" s="35" t="inlineStr">
        <is>
          <t>1.名称:吊顶式恒温恒湿空气处理机组
1. Tên: Cụm xử lý không khí (AHU) ổn định nhiệt độ - độ ẩm kiểu treo trần
2.编号:AHU-200
2. Mã hiệu: AHU-200
送风量20000m3/h，新风量2000m3/h，回风量18000m3/h，制冷量124kW，蒸汽加热量60kW，蒸汽加湿量30kg/h，机外静压240Pa，电机功率7.5kW，变频电机，输入电压380V/50Hz，重量约796kg
Lưu lượng gió cấp 20000m3/h, lưu lượng gió tươi 2000m3/h, lưu lượng gió hồi 18000m3/h, công suất lạnh 124kW, công suất gia nhiệt bằng hơi nước 60kW, lượng tạo ẩm bằng hơi nước 30kg/h, áp suất tĩnh ngoài 240Pa, công suất động cơ 7.5kW, động cơ biến tần, điện áp đầu vào 380V/50Hz, trọng lượng khoảng 796kg
3.功能段:新回风混合段+G4初效段+表冷段+加热段+加湿段+风机送风段
3. Các khoang chức năng: Khoang hòa trộn gió tươi - gió hồi + khoang lọc thô G4 + khoang coil làm lạnh + khoang gia nhiệt + khoang tạo ẩm + khoang quạt cấp gió
4.安装形式:吊顶式
4. Hình thức lắp đặt: Treo trần
5.其他:符合设计图纸以及施工规范要求
5. Khác: Phù hợp yêu cầu của bản vẽ thiết kế và quy phạm thi công</t>
        </is>
      </c>
      <c r="D9" s="11" t="inlineStr">
        <is>
          <t>台
Máy</t>
        </is>
      </c>
      <c r="E9" s="36" t="n">
        <v>12</v>
      </c>
      <c r="F9" s="15" t="n"/>
      <c r="G9" s="15" t="n"/>
      <c r="H9" s="15">
        <f>F9+G9</f>
        <v/>
      </c>
      <c r="I9" s="13">
        <f>E9*H9</f>
        <v/>
      </c>
      <c r="J9" s="35" t="inlineStr">
        <is>
          <t>麦克维尔、申菱
McQuay (麦克维尔), Shenling (申菱)</t>
        </is>
      </c>
    </row>
    <row r="10" ht="143" customHeight="1">
      <c r="A10" s="11" t="n">
        <v>4</v>
      </c>
      <c r="B10" s="12" t="inlineStr">
        <is>
          <t>吊顶式空气处理机组
Cụm xử lý không khí kiểu treo trần
RCU-150</t>
        </is>
      </c>
      <c r="C10" s="35" t="inlineStr">
        <is>
          <t>1.名称:吊顶式空气处理机组
1. Tên: Cụm xử lý không khí kiểu treo trần
2.编号:RCU-150
2. Mã hiệu: RCU-150
回风工况，风量15000m3/h，制冷量115kW，机外静压240Pa，电机功率5.5kW，输入电压380V/50Hz，双层尼龙过滤网
Chế độ gió hồi, lưu lượng gió 15000m3/h, công suất lạnh 115kW, áp suất tĩnh ngoài 240Pa, công suất động cơ 5.5kW, điện áp đầu vào 380V/50Hz, lưới lọc nylon hai lớp
3.安装形式:吊顶式
3. Hình thức lắp đặt: Treo trần
4.其他:符合设计图纸以及施工规范要求
4. Khác: Phù hợp yêu cầu của bản vẽ thiết kế và quy phạm thi công</t>
        </is>
      </c>
      <c r="D10" s="11" t="inlineStr">
        <is>
          <t>台
Máy</t>
        </is>
      </c>
      <c r="E10" s="36" t="n">
        <v>19</v>
      </c>
      <c r="F10" s="15" t="n"/>
      <c r="G10" s="15" t="n"/>
      <c r="H10" s="15">
        <f>F10+G10</f>
        <v/>
      </c>
      <c r="I10" s="13">
        <f>E10*H10</f>
        <v/>
      </c>
      <c r="J10" s="35" t="inlineStr">
        <is>
          <t>麦克维尔、申菱
McQuay (麦克维尔), Shenling (申菱)</t>
        </is>
      </c>
    </row>
    <row r="11" ht="143" customHeight="1">
      <c r="A11" s="11" t="n">
        <v>5</v>
      </c>
      <c r="B11" s="12" t="inlineStr">
        <is>
          <t>吊顶式全新空气处理机组
Cụm xử lý không khí 100% gió tươi kiểu treo trần
FAU-150</t>
        </is>
      </c>
      <c r="C11" s="35" t="inlineStr">
        <is>
          <t>1.名称:吊顶式空气处理机组
1. Tên: Cụm xử lý không khí kiểu treo trần
2.编号:FAU-150
2. Mã hiệu: FAU-150
新风工况，风量15000m3/h，制冷量248.5kW，机外静压240Pa，电机功率5.5kW，输入电压380V/50Hz，双层尼龙过滤网
Chế độ gió tươi, lưu lượng gió 15000m3/h, công suất lạnh 248.5kW, áp suất tĩnh ngoài 240Pa, công suất động cơ 5.5kW, điện áp đầu vào 380V/50Hz, lưới lọc nylon hai lớp
3.安装形式:吊顶式
3. Hình thức lắp đặt: Treo trần
4.其他:符合设计图纸以及施工规范要求
4. Khác: Phù hợp yêu cầu của bản vẽ thiết kế và quy phạm thi công</t>
        </is>
      </c>
      <c r="D11" s="11" t="inlineStr">
        <is>
          <t>台
Máy</t>
        </is>
      </c>
      <c r="E11" s="36" t="n">
        <v>6</v>
      </c>
      <c r="F11" s="15" t="n"/>
      <c r="G11" s="15" t="n"/>
      <c r="H11" s="15">
        <f>F11+G11</f>
        <v/>
      </c>
      <c r="I11" s="13">
        <f>E11*H11</f>
        <v/>
      </c>
      <c r="J11" s="35" t="inlineStr">
        <is>
          <t>麦克维尔、申菱
McQuay (麦克维尔), Shenling (申菱)</t>
        </is>
      </c>
    </row>
    <row r="12" ht="120" customHeight="1">
      <c r="A12" s="11" t="n">
        <v>6</v>
      </c>
      <c r="B12" s="12" t="inlineStr">
        <is>
          <t>吊顶式恒温恒湿空气处理机组AHU-300安装支吊架
Giá treo đỡ lắp đặt cụm xử lý không khí ổn định nhiệt độ - độ ẩm kiểu treo trần AHU-300</t>
        </is>
      </c>
      <c r="C12" s="35" t="inlineStr">
        <is>
          <t>1.形式:吊托支架
1. Hình thức: Giá treo đỡ
2.材质:14#、16#工字钢，方形钢板
2. Vật liệu: Thép chữ I số 14#, 16#, thép tấm vuông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12" s="11" t="inlineStr">
        <is>
          <t>kg</t>
        </is>
      </c>
      <c r="E12" s="40" t="n">
        <v>2321.7</v>
      </c>
      <c r="F12" s="15" t="n"/>
      <c r="G12" s="15" t="n"/>
      <c r="H12" s="15">
        <f>F12+G12</f>
        <v/>
      </c>
      <c r="I12" s="13">
        <f>E12*H12</f>
        <v/>
      </c>
      <c r="J12" s="35" t="inlineStr">
        <is>
          <t>国标
Tiêu chuẩn quốc gia (GB)</t>
        </is>
      </c>
    </row>
    <row r="13" ht="120" customHeight="1">
      <c r="A13" s="11" t="n">
        <v>7</v>
      </c>
      <c r="B13" s="12" t="inlineStr">
        <is>
          <t>吊顶式恒温恒湿空气处理机组AHU-200H安装支吊架
Giá treo đỡ lắp đặt cụm xử lý không khí ổn định nhiệt độ - độ ẩm kiểu treo trần AHU-200H</t>
        </is>
      </c>
      <c r="C13" s="35" t="inlineStr">
        <is>
          <t>1.形式:吊托支架
1. Hình thức: Giá treo đỡ
2.材质:14#、16#工字钢，方形钢板
2. Vật liệu: Thép chữ I số 14#, 16#, thép tấm vuông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13" s="11" t="inlineStr">
        <is>
          <t>kg</t>
        </is>
      </c>
      <c r="E13" s="40" t="n">
        <v>2321.7</v>
      </c>
      <c r="F13" s="15" t="n"/>
      <c r="G13" s="15" t="n"/>
      <c r="H13" s="15">
        <f>F13+G13</f>
        <v/>
      </c>
      <c r="I13" s="13">
        <f>E13*H13</f>
        <v/>
      </c>
      <c r="J13" s="35" t="inlineStr">
        <is>
          <t>国标
Tiêu chuẩn quốc gia (GB)</t>
        </is>
      </c>
    </row>
    <row r="14" ht="120" customHeight="1">
      <c r="A14" s="11" t="n">
        <v>8</v>
      </c>
      <c r="B14" s="12" t="inlineStr">
        <is>
          <t>吊顶式恒温恒湿空气处理机组AHU-200安装支吊架
Giá treo đỡ lắp đặt cụm xử lý không khí ổn định nhiệt độ - độ ẩm kiểu treo trần AHU-200</t>
        </is>
      </c>
      <c r="C14" s="35" t="inlineStr">
        <is>
          <t>1.形式:吊托支架
1. Hình thức: Giá treo đỡ
2.材质:12#、14#工字钢，方形钢板
2. Vật liệu: Thép chữ I số 12#, 14#, thép tấm vuông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14" s="11" t="inlineStr">
        <is>
          <t>kg</t>
        </is>
      </c>
      <c r="E14" s="40" t="n">
        <v>5040.5</v>
      </c>
      <c r="F14" s="15" t="n"/>
      <c r="G14" s="15" t="n"/>
      <c r="H14" s="15">
        <f>F14+G14</f>
        <v/>
      </c>
      <c r="I14" s="13">
        <f>E14*H14</f>
        <v/>
      </c>
      <c r="J14" s="35" t="inlineStr">
        <is>
          <t>国标
Tiêu chuẩn quốc gia (GB)</t>
        </is>
      </c>
    </row>
    <row r="15" ht="120" customHeight="1">
      <c r="A15" s="11" t="n">
        <v>9</v>
      </c>
      <c r="B15" s="12" t="inlineStr">
        <is>
          <t>吊顶式空气处理机组RCU-150/FAU-150安装支吊架
Giá treo đỡ lắp đặt cụm xử lý không khí kiểu treo trần RCU-150/FAU-150</t>
        </is>
      </c>
      <c r="C15" s="35" t="inlineStr">
        <is>
          <t>1.形式:吊托支架
1. Hình thức: Giá treo đỡ
2.材质:12#槽钢，方形钢板
2. Vật liệu: Thép chữ U số 12#, thép tấm vuông
3.除锈、刷油:手工除锈，防锈漆、调和漆各二道
3. Tẩy gỉ, sơn: Tẩy gỉ thủ công, sơn chống gỉ và sơn phủ mỗi loại hai lớp
4.含减震弹簧
4. Gồm lò xo giảm chấn
5.其他:符合设计图纸以及施工规范要求
5. Khác: Phù hợp yêu cầu của bản vẽ thiết kế và quy phạm thi công</t>
        </is>
      </c>
      <c r="D15" s="11" t="inlineStr">
        <is>
          <t>kg</t>
        </is>
      </c>
      <c r="E15" s="36" t="n">
        <v>5235</v>
      </c>
      <c r="F15" s="15" t="n"/>
      <c r="G15" s="15" t="n"/>
      <c r="H15" s="15">
        <f>F15+G15</f>
        <v/>
      </c>
      <c r="I15" s="13">
        <f>E15*H15</f>
        <v/>
      </c>
      <c r="J15" s="35" t="inlineStr">
        <is>
          <t>国标
Tiêu chuẩn quốc gia (GB)</t>
        </is>
      </c>
    </row>
    <row r="16">
      <c r="A16" s="37" t="n"/>
      <c r="B16" s="38" t="inlineStr">
        <is>
          <t>小计 / Cộng</t>
        </is>
      </c>
      <c r="C16" s="37" t="n"/>
      <c r="D16" s="37" t="n"/>
      <c r="E16" s="37" t="n"/>
      <c r="F16" s="37" t="n"/>
      <c r="G16" s="37" t="n"/>
      <c r="H16" s="37" t="n"/>
      <c r="I16" s="39">
        <f>SUM(I7:I15)</f>
        <v/>
      </c>
      <c r="J16" s="37" t="n"/>
    </row>
    <row r="17" ht="28" customHeight="1">
      <c r="A17" s="33" t="inlineStr">
        <is>
          <t>二、
II.</t>
        </is>
      </c>
      <c r="B17" s="34" t="inlineStr">
        <is>
          <t>空调风系统 / Hệ thống gió điều hòa</t>
        </is>
      </c>
      <c r="C17" s="34" t="n"/>
      <c r="D17" s="34" t="n"/>
      <c r="E17" s="34" t="n"/>
      <c r="F17" s="34" t="n"/>
      <c r="G17" s="34" t="n"/>
      <c r="H17" s="34" t="n"/>
      <c r="I17" s="34" t="n"/>
      <c r="J17" s="34" t="n"/>
    </row>
    <row r="18" ht="189" customHeight="1">
      <c r="A18" s="11" t="n">
        <v>10</v>
      </c>
      <c r="B18" s="12" t="inlineStr">
        <is>
          <t>空调风管
Ống gió điều hòa</t>
        </is>
      </c>
      <c r="C18" s="35" t="inlineStr">
        <is>
          <t>1.名称:空调风管
1. Tên: Ống gió điều hòa
2.材质:镀锌薄钢板
2. Vật liệu: Tôn mạ kẽm
3.规格:450＜长边长(mm) ≤630
3. Quy cách: 450＜chiều dài cạnh lớn (mm) ≤630
4.形状:矩形
4. Hình dạng: Hình chữ nhật
5.接口形式:共板法兰连接
5. Hình thức mối nối: Nối bích liền (TDC)
6.板材厚度:δ=0.6mm
6. Độ dày tôn: δ=0.6mm
7.含管件、法兰等附件
7. Gồm phụ kiện như phụ kiện ống, mặt bích, v.v.
8.其他:符合设计图纸及施工规范要求
8. Khác: Phù hợp yêu cầu của bản vẽ thiết kế và quy phạm thi công</t>
        </is>
      </c>
      <c r="D18" s="11" t="inlineStr">
        <is>
          <t>㎡</t>
        </is>
      </c>
      <c r="E18" s="40" t="n">
        <v>2149.7</v>
      </c>
      <c r="F18" s="15" t="n"/>
      <c r="G18" s="15" t="n"/>
      <c r="H18" s="15">
        <f>F18+G18</f>
        <v/>
      </c>
      <c r="I18" s="13">
        <f>E18*H18</f>
        <v/>
      </c>
      <c r="J18" s="35" t="inlineStr">
        <is>
          <t>华友、鞍钢
Huayou (华友), Ansteel (鞍钢)</t>
        </is>
      </c>
    </row>
    <row r="19" ht="189" customHeight="1">
      <c r="A19" s="11" t="n">
        <v>11</v>
      </c>
      <c r="B19" s="12" t="inlineStr">
        <is>
          <t>空调风管
Ống gió điều hòa</t>
        </is>
      </c>
      <c r="C19" s="35" t="inlineStr">
        <is>
          <t>1.名称:空调风管
1. Tên: Ống gió điều hòa
2.材质:镀锌薄钢板
2. Vật liệu: Tôn mạ kẽm
3.规格:630＜长边长(mm) ≤1000
3. Quy cách: 630＜chiều dài cạnh lớn (mm) ≤1000
4.形状:矩形
4. Hình dạng: Hình chữ nhật
5.接口形式:共板法兰连接
5. Hình thức mối nối: Nối bích liền (TDC)
6.板材厚度:δ=0.75mm
6. Độ dày tôn: δ=0.75mm
7.含管件、法兰等附件
7. Gồm phụ kiện như phụ kiện ống, mặt bích, v.v.
8.其他:符合设计图纸及施工规范要求
8. Khác: Phù hợp yêu cầu của bản vẽ thiết kế và quy phạm thi công</t>
        </is>
      </c>
      <c r="D19" s="11" t="inlineStr">
        <is>
          <t>㎡</t>
        </is>
      </c>
      <c r="E19" s="36" t="n">
        <v>3634</v>
      </c>
      <c r="F19" s="15" t="n"/>
      <c r="G19" s="15" t="n"/>
      <c r="H19" s="15">
        <f>F19+G19</f>
        <v/>
      </c>
      <c r="I19" s="13">
        <f>E19*H19</f>
        <v/>
      </c>
      <c r="J19" s="35" t="inlineStr">
        <is>
          <t>华友、鞍钢
Huayou (华友), Ansteel (鞍钢)</t>
        </is>
      </c>
    </row>
    <row r="20" ht="189" customHeight="1">
      <c r="A20" s="11" t="n">
        <v>12</v>
      </c>
      <c r="B20" s="12" t="inlineStr">
        <is>
          <t>空调风管
Ống gió điều hòa</t>
        </is>
      </c>
      <c r="C20" s="35" t="inlineStr">
        <is>
          <t>1.名称:空调风管
1. Tên: Ống gió điều hòa
2.材质:镀锌薄钢板
2. Vật liệu: Tôn mạ kẽm
3.规格:1000＜长边长(mm) ≤1500
3. Quy cách: 1000＜chiều dài cạnh lớn (mm) ≤1500
4.形状:矩形
4. Hình dạng: Hình chữ nhật
5.接口形式:共板法兰连接
5. Hình thức mối nối: Nối bích liền (TDC)
6.板材厚度:δ=1.0mm
6. Độ dày tôn: δ=1.0mm
7.含管件、法兰等附件
7. Gồm phụ kiện như phụ kiện ống, mặt bích, v.v.
8.其他:符合设计图纸及施工规范要求
8. Khác: Phù hợp yêu cầu của bản vẽ thiết kế và quy phạm thi công</t>
        </is>
      </c>
      <c r="D20" s="11" t="inlineStr">
        <is>
          <t>㎡</t>
        </is>
      </c>
      <c r="E20" s="40" t="n">
        <v>1944.6</v>
      </c>
      <c r="F20" s="15" t="n"/>
      <c r="G20" s="15" t="n"/>
      <c r="H20" s="15">
        <f>F20+G20</f>
        <v/>
      </c>
      <c r="I20" s="13">
        <f>E20*H20</f>
        <v/>
      </c>
      <c r="J20" s="35" t="inlineStr">
        <is>
          <t>华友、鞍钢
Huayou (华友), Ansteel (鞍钢)</t>
        </is>
      </c>
    </row>
    <row r="21" ht="189" customHeight="1">
      <c r="A21" s="11" t="n">
        <v>13</v>
      </c>
      <c r="B21" s="12" t="inlineStr">
        <is>
          <t>空调风管
Ống gió điều hòa</t>
        </is>
      </c>
      <c r="C21" s="35" t="inlineStr">
        <is>
          <t>1.名称:空调风管
1. Tên: Ống gió điều hòa
2.材质:镀锌薄钢板
2. Vật liệu: Tôn mạ kẽm
3.规格:1500＜长边长(mm) ≤2000
3. Quy cách: 1500＜chiều dài cạnh lớn (mm) ≤2000
4.形状:矩形
4. Hình dạng: Hình chữ nhật
5.接口形式:共板法兰连接
5. Hình thức mối nối: Nối bích liền (TDC)
6.板材厚度:δ=1.2mm
6. Độ dày tôn: δ=1.2mm
7.含管件、法兰等附件
7. Gồm phụ kiện như phụ kiện ống, mặt bích, v.v.
8.其他:符合设计图纸及施工规范要求
8. Khác: Phù hợp yêu cầu của bản vẽ thiết kế và quy phạm thi công</t>
        </is>
      </c>
      <c r="D21" s="11" t="inlineStr">
        <is>
          <t>㎡</t>
        </is>
      </c>
      <c r="E21" s="36" t="n">
        <v>450</v>
      </c>
      <c r="F21" s="15" t="n"/>
      <c r="G21" s="15" t="n"/>
      <c r="H21" s="15">
        <f>F21+G21</f>
        <v/>
      </c>
      <c r="I21" s="13">
        <f>E21*H21</f>
        <v/>
      </c>
      <c r="J21" s="35" t="inlineStr">
        <is>
          <t>华友、鞍钢
Huayou (华友), Ansteel (鞍钢)</t>
        </is>
      </c>
    </row>
    <row r="22" ht="189" customHeight="1">
      <c r="A22" s="11" t="n">
        <v>14</v>
      </c>
      <c r="B22" s="12" t="inlineStr">
        <is>
          <t>静压箱
Hộp áp suất tĩnh (plenum)</t>
        </is>
      </c>
      <c r="C22" s="35" t="inlineStr">
        <is>
          <t>1.名称:静压箱
1. Tên: Hộp áp suất tĩnh (plenum)
2.材质:镀锌薄钢板
2. Vật liệu: Tôn mạ kẽm
3.规格:2300*1200*1000
3. Quy cách: 2300*1200*1000
4.形状:矩形
4. Hình dạng: Hình chữ nhật
5.接口形式:咬口连接
5. Hình thức mối nối: Nối gấp mép
6.板材厚度:δ=1.2mm
6. Độ dày tôn: δ=1.2mm
7.保温材质:B1级橡塑保温棉δ=25mm
7. Vật liệu bảo ôn: Bông bảo ôn cao su-nhựa cấp B1 δ=25mm
8.其他:符合设计图纸及施工规范要求
8. Khác: Phù hợp yêu cầu của bản vẽ thiết kế và quy phạm thi công</t>
        </is>
      </c>
      <c r="D22" s="11" t="inlineStr">
        <is>
          <t>个
Cái</t>
        </is>
      </c>
      <c r="E22" s="36" t="n">
        <v>4</v>
      </c>
      <c r="F22" s="15" t="n"/>
      <c r="G22" s="15" t="n"/>
      <c r="H22" s="15">
        <f>F22+G22</f>
        <v/>
      </c>
      <c r="I22" s="13">
        <f>E22*H22</f>
        <v/>
      </c>
      <c r="J22" s="35" t="inlineStr">
        <is>
          <t>国标
Tiêu chuẩn quốc gia (GB)</t>
        </is>
      </c>
    </row>
    <row r="23" ht="189" customHeight="1">
      <c r="A23" s="11" t="n">
        <v>15</v>
      </c>
      <c r="B23" s="12" t="inlineStr">
        <is>
          <t>静压箱
Hộp áp suất tĩnh (plenum)</t>
        </is>
      </c>
      <c r="C23" s="35" t="inlineStr">
        <is>
          <t>1.名称:静压箱
1. Tên: Hộp áp suất tĩnh (plenum)
2.材质:镀锌薄钢板
2. Vật liệu: Tôn mạ kẽm
3.规格:2300*1000*1000
3. Quy cách: 2300*1000*1000
4.形状:矩形
4. Hình dạng: Hình chữ nhật
5.接口形式:咬口连接
5. Hình thức mối nối: Nối gấp mép
6.板材厚度:δ=1.2mm
6. Độ dày tôn: δ=1.2mm
7.保温材质:B1级橡塑保温棉δ=25mm
7. Vật liệu bảo ôn: Bông bảo ôn cao su-nhựa cấp B1 δ=25mm
8.其他:符合设计图纸及施工规范要求
8. Khác: Phù hợp yêu cầu của bản vẽ thiết kế và quy phạm thi công</t>
        </is>
      </c>
      <c r="D23" s="11" t="inlineStr">
        <is>
          <t>个
Cái</t>
        </is>
      </c>
      <c r="E23" s="36" t="n">
        <v>25</v>
      </c>
      <c r="F23" s="15" t="n"/>
      <c r="G23" s="15" t="n"/>
      <c r="H23" s="15">
        <f>F23+G23</f>
        <v/>
      </c>
      <c r="I23" s="13">
        <f>E23*H23</f>
        <v/>
      </c>
      <c r="J23" s="35" t="inlineStr">
        <is>
          <t>国标
Tiêu chuẩn quốc gia (GB)</t>
        </is>
      </c>
    </row>
    <row r="24" ht="189" customHeight="1">
      <c r="A24" s="11" t="n">
        <v>16</v>
      </c>
      <c r="B24" s="12" t="inlineStr">
        <is>
          <t>静压箱
Hộp áp suất tĩnh (plenum)</t>
        </is>
      </c>
      <c r="C24" s="35" t="inlineStr">
        <is>
          <t>1.名称:静压箱
1. Tên: Hộp áp suất tĩnh (plenum)
2.材质:镀锌薄钢板
2. Vật liệu: Tôn mạ kẽm
3.规格:2200*1200*1000
3. Quy cách: 2200*1200*1000
4.形状:矩形
4. Hình dạng: Hình chữ nhật
5.接口形式:咬口连接
5. Hình thức mối nối: Nối gấp mép
6.板材厚度:δ=1.2mm
6. Độ dày tôn: δ=1.2mm
7.保温材质:B1级橡塑保温棉δ=25mm
7. Vật liệu bảo ôn: Bông bảo ôn cao su-nhựa cấp B1 δ=25mm
8.其他:符合设计图纸及施工规范要求
8. Khác: Phù hợp yêu cầu của bản vẽ thiết kế và quy phạm thi công</t>
        </is>
      </c>
      <c r="D24" s="11" t="inlineStr">
        <is>
          <t>个
Cái</t>
        </is>
      </c>
      <c r="E24" s="36" t="n">
        <v>40</v>
      </c>
      <c r="F24" s="15" t="n"/>
      <c r="G24" s="15" t="n"/>
      <c r="H24" s="15">
        <f>F24+G24</f>
        <v/>
      </c>
      <c r="I24" s="13">
        <f>E24*H24</f>
        <v/>
      </c>
      <c r="J24" s="35" t="inlineStr">
        <is>
          <t>国标
Tiêu chuẩn quốc gia (GB)</t>
        </is>
      </c>
    </row>
    <row r="25" ht="97" customHeight="1">
      <c r="A25" s="11" t="n">
        <v>17</v>
      </c>
      <c r="B25" s="12" t="inlineStr">
        <is>
          <t>空调风管绝热
Bảo ôn ống gió điều hòa</t>
        </is>
      </c>
      <c r="C25" s="35" t="inlineStr">
        <is>
          <t>1.名称:空调风管绝热
1. Tên: Bảo ôn ống gió điều hòa
2.材质:B1级橡塑保温棉
2. Vật liệu: Bông bảo ôn cao su-nhựa cấp B1
3.材料厚度:δ=25mm
3. Độ dày vật liệu: δ=25mm
4.其他:符合设计图纸及施工规范要求
4. Khác: Phù hợp yêu cầu của bản vẽ thiết kế và quy phạm thi công</t>
        </is>
      </c>
      <c r="D25" s="11" t="inlineStr">
        <is>
          <t>㎡</t>
        </is>
      </c>
      <c r="E25" s="40" t="n">
        <v>8178.3</v>
      </c>
      <c r="F25" s="15" t="n"/>
      <c r="G25" s="15" t="n"/>
      <c r="H25" s="15">
        <f>F25+G25</f>
        <v/>
      </c>
      <c r="I25" s="13">
        <f>E25*H25</f>
        <v/>
      </c>
      <c r="J25" s="35" t="inlineStr">
        <is>
          <t>保温：Ord、贝柠、华美、派柏士
Bảo ôn: Ord, Beining (贝柠), Huamei (华美), Paibaishi (派柏士)</t>
        </is>
      </c>
    </row>
    <row r="26" ht="97" customHeight="1">
      <c r="A26" s="11" t="n">
        <v>18</v>
      </c>
      <c r="B26" s="12" t="inlineStr">
        <is>
          <t>空调风管安装支吊架
Giá treo đỡ lắp đặt ống gió điều hòa</t>
        </is>
      </c>
      <c r="C26" s="35" t="inlineStr">
        <is>
          <t>1.形式:吊托支架
1. Hình thức: Giá treo đỡ
2.材质:角钢、丝杆
2. Vật liệu: Thép góc, ty ren
3.除锈、刷油:手工除锈，防锈漆、调和漆各二道
3. Tẩy gỉ, sơn: Tẩy gỉ thủ công, sơn chống gỉ và sơn phủ mỗi loại hai lớp
4.其他:符合设计图纸以及施工规范要求
4. Khác: Phù hợp yêu cầu của bản vẽ thiết kế và quy phạm thi công</t>
        </is>
      </c>
      <c r="D26" s="11" t="inlineStr">
        <is>
          <t>kg</t>
        </is>
      </c>
      <c r="E26" s="40" t="n">
        <v>5958.9</v>
      </c>
      <c r="F26" s="15" t="n"/>
      <c r="G26" s="15" t="n"/>
      <c r="H26" s="15">
        <f>F26+G26</f>
        <v/>
      </c>
      <c r="I26" s="13">
        <f>E26*H26</f>
        <v/>
      </c>
      <c r="J26" s="35" t="inlineStr">
        <is>
          <t>国标
Tiêu chuẩn quốc gia (GB)</t>
        </is>
      </c>
    </row>
    <row r="27" ht="120" customHeight="1">
      <c r="A27" s="11" t="n">
        <v>19</v>
      </c>
      <c r="B27" s="12" t="inlineStr">
        <is>
          <t>纤维织物风管
Ống gió vải sợi</t>
        </is>
      </c>
      <c r="C27" s="35" t="inlineStr">
        <is>
          <t>1.名称:纤维织物风管
1. Tên: Ống gió vải sợi
2.形状:圆形
2. Hình dạng: Hình tròn
3.规格:φ900，长度20m
3. Quy cách: φ900, chiều dài 20m
4.含挂钩、挂环、内支撑等
4. Gồm móc treo, vòng treo, khung đỡ bên trong, v.v.
5.其他:符合设计图纸及施工规范要求
5. Khác: Phù hợp yêu cầu của bản vẽ thiết kế và quy phạm thi công</t>
        </is>
      </c>
      <c r="D27" s="11" t="inlineStr">
        <is>
          <t>条
Đoạn</t>
        </is>
      </c>
      <c r="E27" s="36" t="n">
        <v>7</v>
      </c>
      <c r="F27" s="15" t="n"/>
      <c r="G27" s="15" t="n"/>
      <c r="H27" s="15">
        <f>F27+G27</f>
        <v/>
      </c>
      <c r="I27" s="13">
        <f>E27*H27</f>
        <v/>
      </c>
      <c r="J27" s="35" t="inlineStr">
        <is>
          <t>国产优质
Hàng sản xuất trong nước chất lượng cao</t>
        </is>
      </c>
    </row>
    <row r="28" ht="120" customHeight="1">
      <c r="A28" s="11" t="n">
        <v>20</v>
      </c>
      <c r="B28" s="12" t="inlineStr">
        <is>
          <t>纤维织物风管
Ống gió vải sợi</t>
        </is>
      </c>
      <c r="C28" s="35" t="inlineStr">
        <is>
          <t>1.名称:纤维织物风管
1. Tên: Ống gió vải sợi
2.形状:圆形
2. Hình dạng: Hình tròn
3.规格:φ900，长度14m
3. Quy cách: φ900, chiều dài 14m
4.含挂钩、挂环、内支撑等
4. Gồm móc treo, vòng treo, khung đỡ bên trong, v.v.
5.其他:符合设计图纸及施工规范要求
5. Khác: Phù hợp yêu cầu của bản vẽ thiết kế và quy phạm thi công</t>
        </is>
      </c>
      <c r="D28" s="11" t="inlineStr">
        <is>
          <t>条
Đoạn</t>
        </is>
      </c>
      <c r="E28" s="36" t="n">
        <v>14</v>
      </c>
      <c r="F28" s="15" t="n"/>
      <c r="G28" s="15" t="n"/>
      <c r="H28" s="15">
        <f>F28+G28</f>
        <v/>
      </c>
      <c r="I28" s="13">
        <f>E28*H28</f>
        <v/>
      </c>
      <c r="J28" s="35" t="inlineStr">
        <is>
          <t>国产优质
Hàng sản xuất trong nước chất lượng cao</t>
        </is>
      </c>
    </row>
    <row r="29" ht="120" customHeight="1">
      <c r="A29" s="11" t="n">
        <v>21</v>
      </c>
      <c r="B29" s="12" t="inlineStr">
        <is>
          <t>纤维织物风管
Ống gió vải sợi</t>
        </is>
      </c>
      <c r="C29" s="35" t="inlineStr">
        <is>
          <t>1.名称:纤维织物风管
1. Tên: Ống gió vải sợi
2.形状:圆形
2. Hình dạng: Hình tròn
3.规格:φ900，长度12m
3. Quy cách: φ900, chiều dài 12m
4.含挂钩、挂环、内支撑等
4. Gồm móc treo, vòng treo, khung đỡ bên trong, v.v.
5.其他:符合设计图纸及施工规范要求
5. Khác: Phù hợp yêu cầu của bản vẽ thiết kế và quy phạm thi công</t>
        </is>
      </c>
      <c r="D29" s="11" t="inlineStr">
        <is>
          <t>条
Đoạn</t>
        </is>
      </c>
      <c r="E29" s="36" t="n">
        <v>3</v>
      </c>
      <c r="F29" s="15" t="n"/>
      <c r="G29" s="15" t="n"/>
      <c r="H29" s="15">
        <f>F29+G29</f>
        <v/>
      </c>
      <c r="I29" s="13">
        <f>E29*H29</f>
        <v/>
      </c>
      <c r="J29" s="35" t="inlineStr">
        <is>
          <t>国产优质
Hàng sản xuất trong nước chất lượng cao</t>
        </is>
      </c>
    </row>
    <row r="30" ht="120" customHeight="1">
      <c r="A30" s="11" t="n">
        <v>22</v>
      </c>
      <c r="B30" s="12" t="inlineStr">
        <is>
          <t>纤维织物风管
Ống gió vải sợi</t>
        </is>
      </c>
      <c r="C30" s="35" t="inlineStr">
        <is>
          <t>1.名称:纤维织物风管
1. Tên: Ống gió vải sợi
2.形状:圆形
2. Hình dạng: Hình tròn
3.规格:φ900，长度11m
3. Quy cách: φ900, chiều dài 11m
4.含挂钩、挂环、内支撑等
4. Gồm móc treo, vòng treo, khung đỡ bên trong, v.v.
5.其他:符合设计图纸及施工规范要求
5. Khác: Phù hợp yêu cầu của bản vẽ thiết kế và quy phạm thi công</t>
        </is>
      </c>
      <c r="D30" s="11" t="inlineStr">
        <is>
          <t>条
Đoạn</t>
        </is>
      </c>
      <c r="E30" s="36" t="n">
        <v>1</v>
      </c>
      <c r="F30" s="15" t="n"/>
      <c r="G30" s="15" t="n"/>
      <c r="H30" s="15">
        <f>F30+G30</f>
        <v/>
      </c>
      <c r="I30" s="13">
        <f>E30*H30</f>
        <v/>
      </c>
      <c r="J30" s="35" t="inlineStr">
        <is>
          <t>国产优质
Hàng sản xuất trong nước chất lượng cao</t>
        </is>
      </c>
    </row>
    <row r="31" ht="120" customHeight="1">
      <c r="A31" s="11" t="n">
        <v>23</v>
      </c>
      <c r="B31" s="12" t="inlineStr">
        <is>
          <t>纤维织物风管
Ống gió vải sợi</t>
        </is>
      </c>
      <c r="C31" s="35" t="inlineStr">
        <is>
          <t>1.名称:纤维织物风管
1. Tên: Ống gió vải sợi
2.形状:圆形
2. Hình dạng: Hình tròn
3.规格:φ750，长度20m
3. Quy cách: φ750, chiều dài 20m
4.含挂钩、挂环、内支撑等
4. Gồm móc treo, vòng treo, khung đỡ bên trong, v.v.
5.其他:符合设计图纸及施工规范要求
5. Khác: Phù hợp yêu cầu của bản vẽ thiết kế và quy phạm thi công</t>
        </is>
      </c>
      <c r="D31" s="11" t="inlineStr">
        <is>
          <t>条
Đoạn</t>
        </is>
      </c>
      <c r="E31" s="36" t="n">
        <v>7</v>
      </c>
      <c r="F31" s="15" t="n"/>
      <c r="G31" s="15" t="n"/>
      <c r="H31" s="15">
        <f>F31+G31</f>
        <v/>
      </c>
      <c r="I31" s="13">
        <f>E31*H31</f>
        <v/>
      </c>
      <c r="J31" s="35" t="inlineStr">
        <is>
          <t>国产优质
Hàng sản xuất trong nước chất lượng cao</t>
        </is>
      </c>
    </row>
    <row r="32" ht="120" customHeight="1">
      <c r="A32" s="11" t="n">
        <v>24</v>
      </c>
      <c r="B32" s="12" t="inlineStr">
        <is>
          <t>纤维织物风管
Ống gió vải sợi</t>
        </is>
      </c>
      <c r="C32" s="35" t="inlineStr">
        <is>
          <t>1.名称:纤维织物风管
1. Tên: Ống gió vải sợi
2.形状:圆形
2. Hình dạng: Hình tròn
3.规格:φ750，长度12m
3. Quy cách: φ750, chiều dài 12m
4.含挂钩、挂环、内支撑等
4. Gồm móc treo, vòng treo, khung đỡ bên trong, v.v.
5.其他:符合设计图纸及施工规范要求
5. Khác: Phù hợp yêu cầu của bản vẽ thiết kế và quy phạm thi công</t>
        </is>
      </c>
      <c r="D32" s="11" t="inlineStr">
        <is>
          <t>条
Đoạn</t>
        </is>
      </c>
      <c r="E32" s="36" t="n">
        <v>18</v>
      </c>
      <c r="F32" s="15" t="n"/>
      <c r="G32" s="15" t="n"/>
      <c r="H32" s="15">
        <f>F32+G32</f>
        <v/>
      </c>
      <c r="I32" s="13">
        <f>E32*H32</f>
        <v/>
      </c>
      <c r="J32" s="35" t="inlineStr">
        <is>
          <t>国产优质
Hàng sản xuất trong nước chất lượng cao</t>
        </is>
      </c>
    </row>
    <row r="33" ht="120" customHeight="1">
      <c r="A33" s="11" t="n">
        <v>25</v>
      </c>
      <c r="B33" s="12" t="inlineStr">
        <is>
          <t>纤维织物风管
Ống gió vải sợi</t>
        </is>
      </c>
      <c r="C33" s="35" t="inlineStr">
        <is>
          <t>1.名称:纤维织物风管
1. Tên: Ống gió vải sợi
2.形状:圆形
2. Hình dạng: Hình tròn
3.规格:φ600，长度13m
3. Quy cách: φ600, chiều dài 13m
4.含挂钩、挂环、内支撑等
4. Gồm móc treo, vòng treo, khung đỡ bên trong, v.v.
5.其他:符合设计图纸及施工规范要求
5. Khác: Phù hợp yêu cầu của bản vẽ thiết kế và quy phạm thi công</t>
        </is>
      </c>
      <c r="D33" s="11" t="inlineStr">
        <is>
          <t>条
Đoạn</t>
        </is>
      </c>
      <c r="E33" s="36" t="n">
        <v>7</v>
      </c>
      <c r="F33" s="15" t="n"/>
      <c r="G33" s="15" t="n"/>
      <c r="H33" s="15">
        <f>F33+G33</f>
        <v/>
      </c>
      <c r="I33" s="13">
        <f>E33*H33</f>
        <v/>
      </c>
      <c r="J33" s="35" t="inlineStr">
        <is>
          <t>国产优质
Hàng sản xuất trong nước chất lượng cao</t>
        </is>
      </c>
    </row>
    <row r="34" ht="120" customHeight="1">
      <c r="A34" s="11" t="n">
        <v>26</v>
      </c>
      <c r="B34" s="12" t="inlineStr">
        <is>
          <t>纤维织物风管
Ống gió vải sợi</t>
        </is>
      </c>
      <c r="C34" s="35" t="inlineStr">
        <is>
          <t>1.名称:纤维织物风管
1. Tên: Ống gió vải sợi
2.形状:圆形
2. Hình dạng: Hình tròn
3.规格:φ600，长度10m
3. Quy cách: φ600, chiều dài 10m
4.含挂钩、挂环、内支撑等
4. Gồm móc treo, vòng treo, khung đỡ bên trong, v.v.
5.其他:符合设计图纸及施工规范要求
5. Khác: Phù hợp yêu cầu của bản vẽ thiết kế và quy phạm thi công</t>
        </is>
      </c>
      <c r="D34" s="11" t="inlineStr">
        <is>
          <t>条
Đoạn</t>
        </is>
      </c>
      <c r="E34" s="36" t="n">
        <v>18</v>
      </c>
      <c r="F34" s="15" t="n"/>
      <c r="G34" s="15" t="n"/>
      <c r="H34" s="15">
        <f>F34+G34</f>
        <v/>
      </c>
      <c r="I34" s="13">
        <f>E34*H34</f>
        <v/>
      </c>
      <c r="J34" s="35" t="inlineStr">
        <is>
          <t>国产优质
Hàng sản xuất trong nước chất lượng cao</t>
        </is>
      </c>
    </row>
    <row r="35" ht="97" customHeight="1">
      <c r="A35" s="11" t="n">
        <v>27</v>
      </c>
      <c r="B35" s="12" t="inlineStr">
        <is>
          <t>纤维织物风管变径头
Đầu chuyển tiết diện ống gió vải sợi</t>
        </is>
      </c>
      <c r="C35" s="35" t="inlineStr">
        <is>
          <t>1.名称:纤维织物风管变径头
1. Tên: Đầu chuyển tiết diện ống gió vải sợi
2.形状:圆形
2. Hình dạng: Hình tròn
3.规格:φ900-φ750，长度320mm
3. Quy cách: φ900-φ750, chiều dài 320mm
4.其他:符合设计图纸及施工规范要求
4. Khác: Phù hợp yêu cầu của bản vẽ thiết kế và quy phạm thi công</t>
        </is>
      </c>
      <c r="D35" s="11" t="inlineStr">
        <is>
          <t>个
Cái</t>
        </is>
      </c>
      <c r="E35" s="36" t="n">
        <v>25</v>
      </c>
      <c r="F35" s="15" t="n"/>
      <c r="G35" s="15" t="n"/>
      <c r="H35" s="15">
        <f>F35+G35</f>
        <v/>
      </c>
      <c r="I35" s="13">
        <f>E35*H35</f>
        <v/>
      </c>
      <c r="J35" s="35" t="inlineStr">
        <is>
          <t>国产优质
Hàng sản xuất trong nước chất lượng cao</t>
        </is>
      </c>
    </row>
    <row r="36" ht="97" customHeight="1">
      <c r="A36" s="11" t="n">
        <v>28</v>
      </c>
      <c r="B36" s="12" t="inlineStr">
        <is>
          <t>纤维织物风管变径头
Đầu chuyển tiết diện ống gió vải sợi</t>
        </is>
      </c>
      <c r="C36" s="35" t="inlineStr">
        <is>
          <t>1.名称:纤维织物风管变径头
1. Tên: Đầu chuyển tiết diện ống gió vải sợi
2.形状:圆形
2. Hình dạng: Hình tròn
3.规格:φ750-φ600，长度320mm
3. Quy cách: φ750-φ600, chiều dài 320mm
4.其他:符合设计图纸及施工规范要求
4. Khác: Phù hợp yêu cầu của bản vẽ thiết kế và quy phạm thi công</t>
        </is>
      </c>
      <c r="D36" s="11" t="inlineStr">
        <is>
          <t>个
Cái</t>
        </is>
      </c>
      <c r="E36" s="36" t="n">
        <v>25</v>
      </c>
      <c r="F36" s="15" t="n"/>
      <c r="G36" s="15" t="n"/>
      <c r="H36" s="15">
        <f>F36+G36</f>
        <v/>
      </c>
      <c r="I36" s="13">
        <f>E36*H36</f>
        <v/>
      </c>
      <c r="J36" s="35" t="inlineStr">
        <is>
          <t>国产优质
Hàng sản xuất trong nước chất lượng cao</t>
        </is>
      </c>
    </row>
    <row r="37" ht="97" customHeight="1">
      <c r="A37" s="11" t="n">
        <v>29</v>
      </c>
      <c r="B37" s="12" t="inlineStr">
        <is>
          <t>纤维织物风管末端
Đầu cuối ống gió vải sợi</t>
        </is>
      </c>
      <c r="C37" s="35" t="inlineStr">
        <is>
          <t>1.名称:纤维织物风管末端
1. Tên: Đầu cuối ống gió vải sợi
2.形状:圆形
2. Hình dạng: Hình tròn
3.规格:φ600
3. Quy cách: φ600
4.其他:符合设计图纸及施工规范要求
4. Khác: Phù hợp yêu cầu của bản vẽ thiết kế và quy phạm thi công</t>
        </is>
      </c>
      <c r="D37" s="11" t="inlineStr">
        <is>
          <t>个
Cái</t>
        </is>
      </c>
      <c r="E37" s="36" t="n">
        <v>25</v>
      </c>
      <c r="F37" s="15" t="n"/>
      <c r="G37" s="15" t="n"/>
      <c r="H37" s="15">
        <f>F37+G37</f>
        <v/>
      </c>
      <c r="I37" s="13">
        <f>E37*H37</f>
        <v/>
      </c>
      <c r="J37" s="35" t="inlineStr">
        <is>
          <t>国产优质
Hàng sản xuất trong nước chất lượng cao</t>
        </is>
      </c>
    </row>
    <row r="38" ht="97" customHeight="1">
      <c r="A38" s="11" t="n">
        <v>30</v>
      </c>
      <c r="B38" s="12" t="inlineStr">
        <is>
          <t>纤维织物风管安装紧箍器
Đai siết lắp đặt ống gió vải sợi</t>
        </is>
      </c>
      <c r="C38" s="35" t="inlineStr">
        <is>
          <t>1.名称:纤维织物风管紧箍器
1. Tên: Đai siết ống gió vải sợi
2.形状:圆形
2. Hình dạng: Hình tròn
3.规格:φ900
3. Quy cách: φ900
4.其他:符合设计图纸及施工规范要求
4. Khác: Phù hợp yêu cầu của bản vẽ thiết kế và quy phạm thi công</t>
        </is>
      </c>
      <c r="D38" s="11" t="inlineStr">
        <is>
          <t>个
Cái</t>
        </is>
      </c>
      <c r="E38" s="36" t="n">
        <v>25</v>
      </c>
      <c r="F38" s="15" t="n"/>
      <c r="G38" s="15" t="n"/>
      <c r="H38" s="15">
        <f>F38+G38</f>
        <v/>
      </c>
      <c r="I38" s="13">
        <f>E38*H38</f>
        <v/>
      </c>
      <c r="J38" s="35" t="inlineStr">
        <is>
          <t>国产优质
Hàng sản xuất trong nước chất lượng cao</t>
        </is>
      </c>
    </row>
    <row r="39" ht="51" customHeight="1">
      <c r="A39" s="11" t="n">
        <v>31</v>
      </c>
      <c r="B39" s="12" t="inlineStr">
        <is>
          <t>纤维织物风管安装钢丝绳
Cáp thép lắp đặt ống gió vải sợi</t>
        </is>
      </c>
      <c r="C39" s="35" t="inlineStr">
        <is>
          <t>1.名称:钢丝绳
1. Tên: Cáp thép
2.其他:符合设计图纸及施工规范要求
2. Khác: Phù hợp yêu cầu của bản vẽ thiết kế và quy phạm thi công</t>
        </is>
      </c>
      <c r="D39" s="11" t="inlineStr">
        <is>
          <t>m</t>
        </is>
      </c>
      <c r="E39" s="36" t="n">
        <v>2370</v>
      </c>
      <c r="F39" s="15" t="n"/>
      <c r="G39" s="15" t="n"/>
      <c r="H39" s="15">
        <f>F39+G39</f>
        <v/>
      </c>
      <c r="I39" s="13">
        <f>E39*H39</f>
        <v/>
      </c>
      <c r="J39" s="35" t="inlineStr">
        <is>
          <t>国产优质
Hàng sản xuất trong nước chất lượng cao</t>
        </is>
      </c>
    </row>
    <row r="40" ht="97" customHeight="1">
      <c r="A40" s="11" t="n">
        <v>32</v>
      </c>
      <c r="B40" s="12" t="inlineStr">
        <is>
          <t>双层送风百叶
Miệng gió cấp nan đôi (hai lớp)</t>
        </is>
      </c>
      <c r="C40" s="35" t="inlineStr">
        <is>
          <t>1.名称:双层送风百叶
1. Tên: Miệng gió cấp nan đôi (hai lớp)
2.规格:内径630*320
2. Quy cách: Kích thước trong 630*320
3.材质:铝合金
3. Vật liệu: Hợp kim nhôm
4.其他:符合设计图纸及施工规范要求
4. Khác: Phù hợp yêu cầu của bản vẽ thiết kế và quy phạm thi công</t>
        </is>
      </c>
      <c r="D40" s="11" t="inlineStr">
        <is>
          <t>个
Cái</t>
        </is>
      </c>
      <c r="E40" s="36" t="n">
        <v>120</v>
      </c>
      <c r="F40" s="15" t="n"/>
      <c r="G40" s="15" t="n"/>
      <c r="H40" s="15">
        <f>F40+G40</f>
        <v/>
      </c>
      <c r="I40" s="13">
        <f>E40*H40</f>
        <v/>
      </c>
      <c r="J40" s="35" t="inlineStr">
        <is>
          <t>国产优质
Hàng sản xuất trong nước chất lượng cao</t>
        </is>
      </c>
    </row>
    <row r="41" ht="97" customHeight="1">
      <c r="A41" s="11" t="n">
        <v>33</v>
      </c>
      <c r="B41" s="12" t="inlineStr">
        <is>
          <t>双层送风百叶
Miệng gió cấp nan đôi (hai lớp)</t>
        </is>
      </c>
      <c r="C41" s="35" t="inlineStr">
        <is>
          <t>1.名称:双层送风百叶
1. Tên: Miệng gió cấp nan đôi (hai lớp)
2.规格:内径500*320
2. Quy cách: Kích thước trong 500*320
3.材质:铝合金
3. Vật liệu: Hợp kim nhôm
4.其他:符合设计图纸及施工规范要求
4. Khác: Phù hợp yêu cầu của bản vẽ thiết kế và quy phạm thi công</t>
        </is>
      </c>
      <c r="D41" s="11" t="inlineStr">
        <is>
          <t>个
Cái</t>
        </is>
      </c>
      <c r="E41" s="36" t="n">
        <v>234</v>
      </c>
      <c r="F41" s="15" t="n"/>
      <c r="G41" s="15" t="n"/>
      <c r="H41" s="15">
        <f>F41+G41</f>
        <v/>
      </c>
      <c r="I41" s="13">
        <f>E41*H41</f>
        <v/>
      </c>
      <c r="J41" s="35" t="inlineStr">
        <is>
          <t>国产优质
Hàng sản xuất trong nước chất lượng cao</t>
        </is>
      </c>
    </row>
    <row r="42" ht="97" customHeight="1">
      <c r="A42" s="11" t="n">
        <v>34</v>
      </c>
      <c r="B42" s="12" t="inlineStr">
        <is>
          <t>门铰式回风百叶
Miệng gió hồi kiểu cửa bản lề</t>
        </is>
      </c>
      <c r="C42" s="35" t="inlineStr">
        <is>
          <t>1.名称:门铰式回风百叶
1. Tên: Miệng gió hồi kiểu cửa bản lề
2.规格:面径350*1200
2. Quy cách: Kích thước mặt 350*1200
3.材质:铝合金
3. Vật liệu: Hợp kim nhôm
4.其他:符合设计图纸及施工规范要求
4. Khác: Phù hợp yêu cầu của bản vẽ thiết kế và quy phạm thi công</t>
        </is>
      </c>
      <c r="D42" s="11" t="inlineStr">
        <is>
          <t>个
Cái</t>
        </is>
      </c>
      <c r="E42" s="36" t="n">
        <v>100</v>
      </c>
      <c r="F42" s="15" t="n"/>
      <c r="G42" s="15" t="n"/>
      <c r="H42" s="15">
        <f>F42+G42</f>
        <v/>
      </c>
      <c r="I42" s="13">
        <f>E42*H42</f>
        <v/>
      </c>
      <c r="J42" s="35" t="inlineStr">
        <is>
          <t>国产优质
Hàng sản xuất trong nước chất lượng cao</t>
        </is>
      </c>
    </row>
    <row r="43" ht="97" customHeight="1">
      <c r="A43" s="11" t="n">
        <v>35</v>
      </c>
      <c r="B43" s="12" t="inlineStr">
        <is>
          <t>门铰式回风百叶
Miệng gió hồi kiểu cửa bản lề</t>
        </is>
      </c>
      <c r="C43" s="35" t="inlineStr">
        <is>
          <t>1.名称:门铰式回风百叶
1. Tên: Miệng gió hồi kiểu cửa bản lề
2.规格:内径2000*1000
2. Quy cách: Kích thước trong 2000*1000
3.材质:铝合金
3. Vật liệu: Hợp kim nhôm
4.其他:符合设计图纸及施工规范要求
4. Khác: Phù hợp yêu cầu của bản vẽ thiết kế và quy phạm thi công</t>
        </is>
      </c>
      <c r="D43" s="11" t="inlineStr">
        <is>
          <t>个
Cái</t>
        </is>
      </c>
      <c r="E43" s="36" t="n">
        <v>12</v>
      </c>
      <c r="F43" s="15" t="n"/>
      <c r="G43" s="15" t="n"/>
      <c r="H43" s="15">
        <f>F43+G43</f>
        <v/>
      </c>
      <c r="I43" s="13">
        <f>E43*H43</f>
        <v/>
      </c>
      <c r="J43" s="35" t="inlineStr">
        <is>
          <t>国产优质
Hàng sản xuất trong nước chất lượng cao</t>
        </is>
      </c>
    </row>
    <row r="44" ht="97" customHeight="1">
      <c r="A44" s="11" t="n">
        <v>36</v>
      </c>
      <c r="B44" s="12" t="inlineStr">
        <is>
          <t>防雨百叶
Louver chống mưa</t>
        </is>
      </c>
      <c r="C44" s="35" t="inlineStr">
        <is>
          <t>1.名称:防雨百叶
1. Tên: Louver chống mưa
2.规格:内径1600*800
2. Quy cách: Kích thước trong 1600*800
3.材质:铝合金
3. Vật liệu: Hợp kim nhôm
4.其他:符合设计图纸及施工规范要求
4. Khác: Phù hợp yêu cầu của bản vẽ thiết kế và quy phạm thi công</t>
        </is>
      </c>
      <c r="D44" s="11" t="inlineStr">
        <is>
          <t>个
Cái</t>
        </is>
      </c>
      <c r="E44" s="36" t="n">
        <v>7</v>
      </c>
      <c r="F44" s="15" t="n"/>
      <c r="G44" s="15" t="n"/>
      <c r="H44" s="15">
        <f>F44+G44</f>
        <v/>
      </c>
      <c r="I44" s="13">
        <f>E44*H44</f>
        <v/>
      </c>
      <c r="J44" s="35" t="inlineStr">
        <is>
          <t>国产优质
Hàng sản xuất trong nước chất lượng cao</t>
        </is>
      </c>
    </row>
    <row r="45" ht="97" customHeight="1">
      <c r="A45" s="11" t="n">
        <v>37</v>
      </c>
      <c r="B45" s="12" t="inlineStr">
        <is>
          <t>防雨百叶
Louver chống mưa</t>
        </is>
      </c>
      <c r="C45" s="35" t="inlineStr">
        <is>
          <t>1.名称:防雨百叶
1. Tên: Louver chống mưa
2.规格:内径1000*500
2. Quy cách: Kích thước trong 1000*500
3.材质:铝合金
3. Vật liệu: Hợp kim nhôm
4.其他:符合设计图纸及施工规范要求
4. Khác: Phù hợp yêu cầu của bản vẽ thiết kế và quy phạm thi công</t>
        </is>
      </c>
      <c r="D45" s="11" t="inlineStr">
        <is>
          <t>个
Cái</t>
        </is>
      </c>
      <c r="E45" s="36" t="n">
        <v>10</v>
      </c>
      <c r="F45" s="15" t="n"/>
      <c r="G45" s="15" t="n"/>
      <c r="H45" s="15">
        <f>F45+G45</f>
        <v/>
      </c>
      <c r="I45" s="13">
        <f>E45*H45</f>
        <v/>
      </c>
      <c r="J45" s="35" t="inlineStr">
        <is>
          <t>国产优质
Hàng sản xuất trong nước chất lượng cao</t>
        </is>
      </c>
    </row>
    <row r="46" ht="97" customHeight="1">
      <c r="A46" s="11" t="n">
        <v>38</v>
      </c>
      <c r="B46" s="12" t="inlineStr">
        <is>
          <t>70℃防火阀
Van chặn lửa 70℃</t>
        </is>
      </c>
      <c r="C46" s="35" t="inlineStr">
        <is>
          <t>1.名称:70℃防火阀
1. Tên: Van chặn lửa 70℃
2.规格:1250*500
2. Quy cách: 1250*500
3.材质:碳钢
3. Vật liệu: Thép cacbon
4.其他:符合设计图纸及施工规范要求
4. Khác: Phù hợp yêu cầu của bản vẽ thiết kế và quy phạm thi công</t>
        </is>
      </c>
      <c r="D46" s="11" t="inlineStr">
        <is>
          <t>个
Cái</t>
        </is>
      </c>
      <c r="E46" s="36" t="n">
        <v>1</v>
      </c>
      <c r="F46" s="15" t="n"/>
      <c r="G46" s="15" t="n"/>
      <c r="H46" s="15">
        <f>F46+G46</f>
        <v/>
      </c>
      <c r="I46" s="13">
        <f>E46*H46</f>
        <v/>
      </c>
      <c r="J46" s="35" t="inlineStr">
        <is>
          <t>国产优质
Hàng sản xuất trong nước chất lượng cao</t>
        </is>
      </c>
    </row>
    <row r="47" ht="97" customHeight="1">
      <c r="A47" s="11" t="n">
        <v>39</v>
      </c>
      <c r="B47" s="12" t="inlineStr">
        <is>
          <t>70℃防火阀
Van chặn lửa 70℃</t>
        </is>
      </c>
      <c r="C47" s="35" t="inlineStr">
        <is>
          <t>1.名称:70℃防火阀
1. Tên: Van chặn lửa 70℃
2.规格:800*500
2. Quy cách: 800*500
3.材质:碳钢
3. Vật liệu: Thép cacbon
4.其他:符合设计图纸及施工规范要求
4. Khác: Phù hợp yêu cầu của bản vẽ thiết kế và quy phạm thi công</t>
        </is>
      </c>
      <c r="D47" s="11" t="inlineStr">
        <is>
          <t>个
Cái</t>
        </is>
      </c>
      <c r="E47" s="36" t="n">
        <v>3</v>
      </c>
      <c r="F47" s="15" t="n"/>
      <c r="G47" s="15" t="n"/>
      <c r="H47" s="15">
        <f>F47+G47</f>
        <v/>
      </c>
      <c r="I47" s="13">
        <f>E47*H47</f>
        <v/>
      </c>
      <c r="J47" s="35" t="inlineStr">
        <is>
          <t>国产优质
Hàng sản xuất trong nước chất lượng cao</t>
        </is>
      </c>
    </row>
    <row r="48" ht="97" customHeight="1">
      <c r="A48" s="11" t="n">
        <v>40</v>
      </c>
      <c r="B48" s="12" t="inlineStr">
        <is>
          <t>手动对开多叶调节阀
Van điều chỉnh gió đa lá mở ngược chiều bằng tay</t>
        </is>
      </c>
      <c r="C48" s="35" t="inlineStr">
        <is>
          <t>1.名称:手动对开多叶调节阀
1. Tên: Van điều chỉnh gió đa lá mở ngược chiều bằng tay
2.规格:1600*500
2. Quy cách: 1600*500
3.材质:碳钢
3. Vật liệu: Thép cacbon
4.其他:符合设计图纸及施工规范要求
4. Khác: Phù hợp yêu cầu của bản vẽ thiết kế và quy phạm thi công</t>
        </is>
      </c>
      <c r="D48" s="11" t="inlineStr">
        <is>
          <t>个
Cái</t>
        </is>
      </c>
      <c r="E48" s="36" t="n">
        <v>4</v>
      </c>
      <c r="F48" s="15" t="n"/>
      <c r="G48" s="15" t="n"/>
      <c r="H48" s="15">
        <f>F48+G48</f>
        <v/>
      </c>
      <c r="I48" s="13">
        <f>E48*H48</f>
        <v/>
      </c>
      <c r="J48" s="35" t="inlineStr">
        <is>
          <t>国产优质
Hàng sản xuất trong nước chất lượng cao</t>
        </is>
      </c>
    </row>
    <row r="49" ht="97" customHeight="1">
      <c r="A49" s="11" t="n">
        <v>41</v>
      </c>
      <c r="B49" s="12" t="inlineStr">
        <is>
          <t>手动对开多叶调节阀
Van điều chỉnh gió đa lá mở ngược chiều bằng tay</t>
        </is>
      </c>
      <c r="C49" s="35" t="inlineStr">
        <is>
          <t>1.名称:手动对开多叶调节阀
1. Tên: Van điều chỉnh gió đa lá mở ngược chiều bằng tay
2.规格:1250*500
2. Quy cách: 1250*500
3.材质:碳钢
3. Vật liệu: Thép cacbon
4.其他:符合设计图纸及施工规范要求
4. Khác: Phù hợp yêu cầu của bản vẽ thiết kế và quy phạm thi công</t>
        </is>
      </c>
      <c r="D49" s="11" t="inlineStr">
        <is>
          <t>个
Cái</t>
        </is>
      </c>
      <c r="E49" s="36" t="n">
        <v>4</v>
      </c>
      <c r="F49" s="15" t="n"/>
      <c r="G49" s="15" t="n"/>
      <c r="H49" s="15">
        <f>F49+G49</f>
        <v/>
      </c>
      <c r="I49" s="13">
        <f>E49*H49</f>
        <v/>
      </c>
      <c r="J49" s="35" t="inlineStr">
        <is>
          <t>国产优质
Hàng sản xuất trong nước chất lượng cao</t>
        </is>
      </c>
    </row>
    <row r="50" ht="97" customHeight="1">
      <c r="A50" s="11" t="n">
        <v>42</v>
      </c>
      <c r="B50" s="12" t="inlineStr">
        <is>
          <t>手动对开多叶调节阀
Van điều chỉnh gió đa lá mở ngược chiều bằng tay</t>
        </is>
      </c>
      <c r="C50" s="35" t="inlineStr">
        <is>
          <t>1.名称:手动对开多叶调节阀
1. Tên: Van điều chỉnh gió đa lá mở ngược chiều bằng tay
2.规格:1100*500
2. Quy cách: 1100*500
3.材质:碳钢
3. Vật liệu: Thép cacbon
4.其他:符合设计图纸及施工规范要求
4. Khác: Phù hợp yêu cầu của bản vẽ thiết kế và quy phạm thi công</t>
        </is>
      </c>
      <c r="D50" s="11" t="inlineStr">
        <is>
          <t>个
Cái</t>
        </is>
      </c>
      <c r="E50" s="36" t="n">
        <v>4</v>
      </c>
      <c r="F50" s="15" t="n"/>
      <c r="G50" s="15" t="n"/>
      <c r="H50" s="15">
        <f>F50+G50</f>
        <v/>
      </c>
      <c r="I50" s="13">
        <f>E50*H50</f>
        <v/>
      </c>
      <c r="J50" s="35" t="inlineStr">
        <is>
          <t>国产优质
Hàng sản xuất trong nước chất lượng cao</t>
        </is>
      </c>
    </row>
    <row r="51" ht="97" customHeight="1">
      <c r="A51" s="11" t="n">
        <v>43</v>
      </c>
      <c r="B51" s="12" t="inlineStr">
        <is>
          <t>手动对开多叶调节阀
Van điều chỉnh gió đa lá mở ngược chiều bằng tay</t>
        </is>
      </c>
      <c r="C51" s="35" t="inlineStr">
        <is>
          <t>1.名称:手动对开多叶调节阀
1. Tên: Van điều chỉnh gió đa lá mở ngược chiều bằng tay
2.规格:1000*630
2. Quy cách: 1000*630
3.材质:碳钢
3. Vật liệu: Thép cacbon
4.其他:符合设计图纸及施工规范要求
4. Khác: Phù hợp yêu cầu của bản vẽ thiết kế và quy phạm thi công</t>
        </is>
      </c>
      <c r="D51" s="11" t="inlineStr">
        <is>
          <t>个
Cái</t>
        </is>
      </c>
      <c r="E51" s="36" t="n">
        <v>6</v>
      </c>
      <c r="F51" s="15" t="n"/>
      <c r="G51" s="15" t="n"/>
      <c r="H51" s="15">
        <f>F51+G51</f>
        <v/>
      </c>
      <c r="I51" s="13">
        <f>E51*H51</f>
        <v/>
      </c>
      <c r="J51" s="35" t="inlineStr">
        <is>
          <t>国产优质
Hàng sản xuất trong nước chất lượng cao</t>
        </is>
      </c>
    </row>
    <row r="52" ht="97" customHeight="1">
      <c r="A52" s="11" t="n">
        <v>44</v>
      </c>
      <c r="B52" s="12" t="inlineStr">
        <is>
          <t>手动对开多叶调节阀
Van điều chỉnh gió đa lá mở ngược chiều bằng tay</t>
        </is>
      </c>
      <c r="C52" s="35" t="inlineStr">
        <is>
          <t>1.名称:手动对开多叶调节阀
1. Tên: Van điều chỉnh gió đa lá mở ngược chiều bằng tay
2.规格:800*500
2. Quy cách: 800*500
3.材质:碳钢
3. Vật liệu: Thép cacbon
4.其他:符合设计图纸及施工规范要求
4. Khác: Phù hợp yêu cầu của bản vẽ thiết kế và quy phạm thi công</t>
        </is>
      </c>
      <c r="D52" s="11" t="inlineStr">
        <is>
          <t>个
Cái</t>
        </is>
      </c>
      <c r="E52" s="36" t="n">
        <v>12</v>
      </c>
      <c r="F52" s="15" t="n"/>
      <c r="G52" s="15" t="n"/>
      <c r="H52" s="15">
        <f>F52+G52</f>
        <v/>
      </c>
      <c r="I52" s="13">
        <f>E52*H52</f>
        <v/>
      </c>
      <c r="J52" s="35" t="inlineStr">
        <is>
          <t>国产优质
Hàng sản xuất trong nước chất lượng cao</t>
        </is>
      </c>
    </row>
    <row r="53" ht="97" customHeight="1">
      <c r="A53" s="11" t="n">
        <v>45</v>
      </c>
      <c r="B53" s="12" t="inlineStr">
        <is>
          <t>手动对开多叶调节阀
Van điều chỉnh gió đa lá mở ngược chiều bằng tay</t>
        </is>
      </c>
      <c r="C53" s="35" t="inlineStr">
        <is>
          <t>1.名称:手动对开多叶调节阀
1. Tên: Van điều chỉnh gió đa lá mở ngược chiều bằng tay
2.规格:800*400
2. Quy cách: 800*400
3.材质:碳钢
3. Vật liệu: Thép cacbon
4.其他:符合设计图纸及施工规范要求
4. Khác: Phù hợp yêu cầu của bản vẽ thiết kế và quy phạm thi công</t>
        </is>
      </c>
      <c r="D53" s="11" t="inlineStr">
        <is>
          <t>个
Cái</t>
        </is>
      </c>
      <c r="E53" s="36" t="n">
        <v>44</v>
      </c>
      <c r="F53" s="15" t="n"/>
      <c r="G53" s="15" t="n"/>
      <c r="H53" s="15">
        <f>F53+G53</f>
        <v/>
      </c>
      <c r="I53" s="13">
        <f>E53*H53</f>
        <v/>
      </c>
      <c r="J53" s="35" t="inlineStr">
        <is>
          <t>国产优质
Hàng sản xuất trong nước chất lượng cao</t>
        </is>
      </c>
    </row>
    <row r="54" ht="97" customHeight="1">
      <c r="A54" s="11" t="n">
        <v>46</v>
      </c>
      <c r="B54" s="12" t="inlineStr">
        <is>
          <t>手动对开多叶调节阀
Van điều chỉnh gió đa lá mở ngược chiều bằng tay</t>
        </is>
      </c>
      <c r="C54" s="35" t="inlineStr">
        <is>
          <t>1.名称:手动对开多叶调节阀
1. Tên: Van điều chỉnh gió đa lá mở ngược chiều bằng tay
2.规格:630*500
2. Quy cách: 630*500
3.材质:碳钢
3. Vật liệu: Thép cacbon
4.其他:符合设计图纸及施工规范要求
4. Khác: Phù hợp yêu cầu của bản vẽ thiết kế và quy phạm thi công</t>
        </is>
      </c>
      <c r="D54" s="11" t="inlineStr">
        <is>
          <t>个
Cái</t>
        </is>
      </c>
      <c r="E54" s="36" t="n">
        <v>6</v>
      </c>
      <c r="F54" s="15" t="n"/>
      <c r="G54" s="15" t="n"/>
      <c r="H54" s="15">
        <f>F54+G54</f>
        <v/>
      </c>
      <c r="I54" s="13">
        <f>E54*H54</f>
        <v/>
      </c>
      <c r="J54" s="35" t="inlineStr">
        <is>
          <t>国产优质
Hàng sản xuất trong nước chất lượng cao</t>
        </is>
      </c>
    </row>
    <row r="55" ht="97" customHeight="1">
      <c r="A55" s="11" t="n">
        <v>47</v>
      </c>
      <c r="B55" s="12" t="inlineStr">
        <is>
          <t>手动对开多叶调节阀
Van điều chỉnh gió đa lá mở ngược chiều bằng tay</t>
        </is>
      </c>
      <c r="C55" s="35" t="inlineStr">
        <is>
          <t>1.名称:手动对开多叶调节阀
1. Tên: Van điều chỉnh gió đa lá mở ngược chiều bằng tay
2.规格:630*400
2. Quy cách: 630*400
3.材质:碳钢
3. Vật liệu: Thép cacbon
4.其他:符合设计图纸及施工规范要求
4. Khác: Phù hợp yêu cầu của bản vẽ thiết kế và quy phạm thi công</t>
        </is>
      </c>
      <c r="D55" s="11" t="inlineStr">
        <is>
          <t>个
Cái</t>
        </is>
      </c>
      <c r="E55" s="36" t="n">
        <v>17</v>
      </c>
      <c r="F55" s="15" t="n"/>
      <c r="G55" s="15" t="n"/>
      <c r="H55" s="15">
        <f>F55+G55</f>
        <v/>
      </c>
      <c r="I55" s="13">
        <f>E55*H55</f>
        <v/>
      </c>
      <c r="J55" s="35" t="inlineStr">
        <is>
          <t>国产优质
Hàng sản xuất trong nước chất lượng cao</t>
        </is>
      </c>
    </row>
    <row r="56" ht="97" customHeight="1">
      <c r="A56" s="11" t="n">
        <v>48</v>
      </c>
      <c r="B56" s="12" t="inlineStr">
        <is>
          <t>手动对开多叶调节阀
Van điều chỉnh gió đa lá mở ngược chiều bằng tay</t>
        </is>
      </c>
      <c r="C56" s="35" t="inlineStr">
        <is>
          <t>1.名称:手动对开多叶调节阀
1. Tên: Van điều chỉnh gió đa lá mở ngược chiều bằng tay
2.规格:630*320
2. Quy cách: 630*320
3.材质:碳钢
3. Vật liệu: Thép cacbon
4.其他:符合设计图纸及施工规范要求
4. Khác: Phù hợp yêu cầu của bản vẽ thiết kế và quy phạm thi công</t>
        </is>
      </c>
      <c r="D56" s="11" t="inlineStr">
        <is>
          <t>个
Cái</t>
        </is>
      </c>
      <c r="E56" s="36" t="n">
        <v>120</v>
      </c>
      <c r="F56" s="15" t="n"/>
      <c r="G56" s="15" t="n"/>
      <c r="H56" s="15">
        <f>F56+G56</f>
        <v/>
      </c>
      <c r="I56" s="13">
        <f>E56*H56</f>
        <v/>
      </c>
      <c r="J56" s="35" t="inlineStr">
        <is>
          <t>国产优质
Hàng sản xuất trong nước chất lượng cao</t>
        </is>
      </c>
    </row>
    <row r="57" ht="97" customHeight="1">
      <c r="A57" s="11" t="n">
        <v>49</v>
      </c>
      <c r="B57" s="12" t="inlineStr">
        <is>
          <t>手动对开多叶调节阀
Van điều chỉnh gió đa lá mở ngược chiều bằng tay</t>
        </is>
      </c>
      <c r="C57" s="35" t="inlineStr">
        <is>
          <t>1.名称:手动对开多叶调节阀
1. Tên: Van điều chỉnh gió đa lá mở ngược chiều bằng tay
2.规格:500*320
2. Quy cách: 500*320
3.材质:碳钢
3. Vật liệu: Thép cacbon
4.其他:符合设计图纸及施工规范要求
4. Khác: Phù hợp yêu cầu của bản vẽ thiết kế và quy phạm thi công</t>
        </is>
      </c>
      <c r="D57" s="11" t="inlineStr">
        <is>
          <t>个
Cái</t>
        </is>
      </c>
      <c r="E57" s="36" t="n">
        <v>234</v>
      </c>
      <c r="F57" s="15" t="n"/>
      <c r="G57" s="15" t="n"/>
      <c r="H57" s="15">
        <f>F57+G57</f>
        <v/>
      </c>
      <c r="I57" s="13">
        <f>E57*H57</f>
        <v/>
      </c>
      <c r="J57" s="35" t="inlineStr">
        <is>
          <t>国产优质
Hàng sản xuất trong nước chất lượng cao</t>
        </is>
      </c>
    </row>
    <row r="58" ht="74" customHeight="1">
      <c r="A58" s="11" t="n">
        <v>50</v>
      </c>
      <c r="B58" s="12" t="inlineStr">
        <is>
          <t>软接头
Khớp nối mềm</t>
        </is>
      </c>
      <c r="C58" s="35" t="inlineStr">
        <is>
          <t>1.名称:软接头
1. Tên: Khớp nối mềm
2.材质:帆布
2. Vật liệu: Vải bạt
3.其他:符合设计图纸及施工规范要求
3. Khác: Phù hợp yêu cầu của bản vẽ thiết kế và quy phạm thi công</t>
        </is>
      </c>
      <c r="D58" s="11" t="inlineStr">
        <is>
          <t>㎡</t>
        </is>
      </c>
      <c r="E58" s="40" t="n">
        <v>100.9</v>
      </c>
      <c r="F58" s="15" t="n"/>
      <c r="G58" s="15" t="n"/>
      <c r="H58" s="15">
        <f>F58+G58</f>
        <v/>
      </c>
      <c r="I58" s="13">
        <f>E58*H58</f>
        <v/>
      </c>
      <c r="J58" s="35" t="inlineStr">
        <is>
          <t>国产优质
Hàng sản xuất trong nước chất lượng cao</t>
        </is>
      </c>
    </row>
    <row r="59" ht="39.5" customHeight="1">
      <c r="A59" s="11" t="n">
        <v>51</v>
      </c>
      <c r="B59" s="12" t="inlineStr">
        <is>
          <t>通风工程检测、调试
Kiểm tra, chạy thử công trình thông gió</t>
        </is>
      </c>
      <c r="C59" s="35" t="inlineStr">
        <is>
          <t>空调风工程系统调试
Chạy thử hệ thống công trình gió điều hòa</t>
        </is>
      </c>
      <c r="D59" s="11" t="inlineStr">
        <is>
          <t>系统
Hệ thống</t>
        </is>
      </c>
      <c r="E59" s="36" t="n">
        <v>1</v>
      </c>
      <c r="F59" s="15" t="n"/>
      <c r="G59" s="15" t="n"/>
      <c r="H59" s="15">
        <f>F59+G59</f>
        <v/>
      </c>
      <c r="I59" s="13">
        <f>E59*H59</f>
        <v/>
      </c>
      <c r="J59" s="35" t="n"/>
    </row>
    <row r="60">
      <c r="A60" s="37" t="n"/>
      <c r="B60" s="38" t="inlineStr">
        <is>
          <t>小计 / Cộng</t>
        </is>
      </c>
      <c r="C60" s="37" t="n"/>
      <c r="D60" s="37" t="n"/>
      <c r="E60" s="37" t="n"/>
      <c r="F60" s="37" t="n"/>
      <c r="G60" s="37" t="n"/>
      <c r="H60" s="37" t="n"/>
      <c r="I60" s="39">
        <f>SUM(I18:I59)</f>
        <v/>
      </c>
      <c r="J60" s="37" t="n"/>
    </row>
    <row r="61" ht="28" customHeight="1">
      <c r="A61" s="33" t="inlineStr">
        <is>
          <t>三、
III.</t>
        </is>
      </c>
      <c r="B61" s="34" t="inlineStr">
        <is>
          <t>空调水系统 / Hệ thống nước điều hòa</t>
        </is>
      </c>
      <c r="C61" s="34" t="n"/>
      <c r="D61" s="34" t="n"/>
      <c r="E61" s="34" t="n"/>
      <c r="F61" s="34" t="n"/>
      <c r="G61" s="34" t="n"/>
      <c r="H61" s="34" t="n"/>
      <c r="I61" s="34" t="n"/>
      <c r="J61" s="34" t="n"/>
    </row>
    <row r="62" ht="235" customHeight="1">
      <c r="A62" s="11" t="n">
        <v>52</v>
      </c>
      <c r="B62" s="12" t="inlineStr">
        <is>
          <t>热镀锌钢管
Ống thép mạ kẽm nhúng nóng</t>
        </is>
      </c>
      <c r="C62" s="35" t="inlineStr">
        <is>
          <t>1.安装部位:室内
1. Vị trí lắp đặt: Trong nhà
2.介质:冷冻水
2. Môi chất: Nước lạnh
3.材质:热镀锌钢管
3. Vật liệu: Ống thép mạ kẽm nhúng nóng
4.规格:DN300*6.0
4. Quy cách: DN300*6.0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8.保温层:难燃(B1级)柔性泡沫橡塑δ=50mm
8. Lớp bảo ôn: Cao su-nhựa xốp mềm khó cháy (cấp B1) δ=50mm
9.含连接管件
9. Gồm phụ kiện nối ống
10.其他:符合设计图纸以及施工规范要求
10. Khác: Phù hợp yêu cầu của bản vẽ thiết kế và quy phạm thi công</t>
        </is>
      </c>
      <c r="D62" s="11" t="inlineStr">
        <is>
          <t>m</t>
        </is>
      </c>
      <c r="E62" s="36" t="n">
        <v>228</v>
      </c>
      <c r="F62" s="15" t="n"/>
      <c r="G62" s="15" t="n"/>
      <c r="H62" s="15">
        <f>F62+G62</f>
        <v/>
      </c>
      <c r="I62" s="13">
        <f>E62*H62</f>
        <v/>
      </c>
      <c r="J62" s="35" t="inlineStr">
        <is>
          <t>钢管：振鸿、广岐、华岐、友发、南粤
Ống thép: Zhenhong (振鸿), Guangqi (广岐), Huaqi (华岐), Youfa (友发), Nanyue (南粤)
保温：Ord、贝柠、华美、派柏士
Bảo ôn: Ord, Beining (贝柠), Huamei (华美), Paibaishi (派柏士)</t>
        </is>
      </c>
    </row>
    <row r="63" ht="235" customHeight="1">
      <c r="A63" s="11" t="n">
        <v>53</v>
      </c>
      <c r="B63" s="12" t="inlineStr">
        <is>
          <t>热镀锌钢管
Ống thép mạ kẽm nhúng nóng</t>
        </is>
      </c>
      <c r="C63" s="35" t="inlineStr">
        <is>
          <t>1.安装部位:室内
1. Vị trí lắp đặt: Trong nhà
2.介质:冷冻水
2. Môi chất: Nước lạnh
3.材质:热镀锌钢管
3. Vật liệu: Ống thép mạ kẽm nhúng nóng
4.规格:DN250*6.0
4. Quy cách: DN250*6.0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8.保温层:难燃(B1级)柔性泡沫橡塑δ=50mm
8. Lớp bảo ôn: Cao su-nhựa xốp mềm khó cháy (cấp B1) δ=50mm
9.含连接管件
9. Gồm phụ kiện nối ống
10.其他:符合设计图纸以及施工规范要求
10. Khác: Phù hợp yêu cầu của bản vẽ thiết kế và quy phạm thi công</t>
        </is>
      </c>
      <c r="D63" s="11" t="inlineStr">
        <is>
          <t>m</t>
        </is>
      </c>
      <c r="E63" s="36" t="n">
        <v>24</v>
      </c>
      <c r="F63" s="15" t="n"/>
      <c r="G63" s="15" t="n"/>
      <c r="H63" s="15">
        <f>F63+G63</f>
        <v/>
      </c>
      <c r="I63" s="13">
        <f>E63*H63</f>
        <v/>
      </c>
      <c r="J63" s="35" t="inlineStr">
        <is>
          <t>钢管：振鸿、广岐、华岐、友发、南粤
Ống thép: Zhenhong (振鸿), Guangqi (广岐), Huaqi (华岐), Youfa (友发), Nanyue (南粤)
保温：Ord、贝柠、华美、派柏士
Bảo ôn: Ord, Beining (贝柠), Huamei (华美), Paibaishi (派柏士)</t>
        </is>
      </c>
    </row>
    <row r="64" ht="235" customHeight="1">
      <c r="A64" s="11" t="n">
        <v>54</v>
      </c>
      <c r="B64" s="12" t="inlineStr">
        <is>
          <t>热镀锌钢管
Ống thép mạ kẽm nhúng nóng</t>
        </is>
      </c>
      <c r="C64" s="35" t="inlineStr">
        <is>
          <t>1.安装部位:室内
1. Vị trí lắp đặt: Trong nhà
2.介质:冷冻水
2. Môi chất: Nước lạnh
3.材质:热镀锌钢管
3. Vật liệu: Ống thép mạ kẽm nhúng nóng
4.规格:DN200*6.0
4. Quy cách: DN200*6.0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8.保温层:难燃(B1级)柔性泡沫橡塑δ=40mm
8. Lớp bảo ôn: Cao su-nhựa xốp mềm khó cháy (cấp B1) δ=40mm
9.含连接管件
9. Gồm phụ kiện nối ống
10.其他:符合设计图纸以及施工规范要求
10. Khác: Phù hợp yêu cầu của bản vẽ thiết kế và quy phạm thi công</t>
        </is>
      </c>
      <c r="D64" s="11" t="inlineStr">
        <is>
          <t>m</t>
        </is>
      </c>
      <c r="E64" s="36" t="n">
        <v>702</v>
      </c>
      <c r="F64" s="15" t="n"/>
      <c r="G64" s="15" t="n"/>
      <c r="H64" s="15">
        <f>F64+G64</f>
        <v/>
      </c>
      <c r="I64" s="13">
        <f>E64*H64</f>
        <v/>
      </c>
      <c r="J64" s="35" t="inlineStr">
        <is>
          <t>钢管：振鸿、广岐、华岐、友发、南粤
Ống thép: Zhenhong (振鸿), Guangqi (广岐), Huaqi (华岐), Youfa (友发), Nanyue (南粤)
保温：Ord、贝柠、华美、派柏士
Bảo ôn: Ord, Beining (贝柠), Huamei (华美), Paibaishi (派柏士)</t>
        </is>
      </c>
    </row>
    <row r="65" ht="235" customHeight="1">
      <c r="A65" s="11" t="n">
        <v>55</v>
      </c>
      <c r="B65" s="12" t="inlineStr">
        <is>
          <t>热镀锌钢管
Ống thép mạ kẽm nhúng nóng</t>
        </is>
      </c>
      <c r="C65" s="35" t="inlineStr">
        <is>
          <t>1.安装部位:室内
1. Vị trí lắp đặt: Trong nhà
2.介质:冷冻水
2. Môi chất: Nước lạnh
3.材质:热镀锌钢管
3. Vật liệu: Ống thép mạ kẽm nhúng nóng
4.规格:DN150*4.5
4. Quy cách: DN150*4.5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8.保温层:难燃(B1级)柔性泡沫橡塑δ=40mm
8. Lớp bảo ôn: Cao su-nhựa xốp mềm khó cháy (cấp B1) δ=40mm
9.含连接管件
9. Gồm phụ kiện nối ống
10.其他:符合设计图纸以及施工规范要求
10. Khác: Phù hợp yêu cầu của bản vẽ thiết kế và quy phạm thi công</t>
        </is>
      </c>
      <c r="D65" s="11" t="inlineStr">
        <is>
          <t>m</t>
        </is>
      </c>
      <c r="E65" s="36" t="n">
        <v>168</v>
      </c>
      <c r="F65" s="15" t="n"/>
      <c r="G65" s="15" t="n"/>
      <c r="H65" s="15">
        <f>F65+G65</f>
        <v/>
      </c>
      <c r="I65" s="13">
        <f>E65*H65</f>
        <v/>
      </c>
      <c r="J65" s="35" t="inlineStr">
        <is>
          <t>钢管：振鸿、广岐、华岐、友发、南粤
Ống thép: Zhenhong (振鸿), Guangqi (广岐), Huaqi (华岐), Youfa (友发), Nanyue (南粤)
保温：Ord、贝柠、华美、派柏士
Bảo ôn: Ord, Beining (贝柠), Huamei (华美), Paibaishi (派柏士)</t>
        </is>
      </c>
    </row>
    <row r="66" ht="235" customHeight="1">
      <c r="A66" s="11" t="n">
        <v>56</v>
      </c>
      <c r="B66" s="12" t="inlineStr">
        <is>
          <t>热镀锌钢管
Ống thép mạ kẽm nhúng nóng</t>
        </is>
      </c>
      <c r="C66" s="35" t="inlineStr">
        <is>
          <t>1.安装部位:室内
1. Vị trí lắp đặt: Trong nhà
2.介质:冷冻水
2. Môi chất: Nước lạnh
3.材质:热镀锌钢管
3. Vật liệu: Ống thép mạ kẽm nhúng nóng
4.规格:DN125*4.25
4. Quy cách: DN125*4.25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8.保温层:难燃(B1级)柔性泡沫橡塑δ=40mm
8. Lớp bảo ôn: Cao su-nhựa xốp mềm khó cháy (cấp B1) δ=40mm
9.含连接管件
9. Gồm phụ kiện nối ống
10.其他:符合设计图纸以及施工规范要求
10. Khác: Phù hợp yêu cầu của bản vẽ thiết kế và quy phạm thi công</t>
        </is>
      </c>
      <c r="D66" s="11" t="inlineStr">
        <is>
          <t>m</t>
        </is>
      </c>
      <c r="E66" s="36" t="n">
        <v>90</v>
      </c>
      <c r="F66" s="15" t="n"/>
      <c r="G66" s="15" t="n"/>
      <c r="H66" s="15">
        <f>F66+G66</f>
        <v/>
      </c>
      <c r="I66" s="13">
        <f>E66*H66</f>
        <v/>
      </c>
      <c r="J66" s="35" t="inlineStr">
        <is>
          <t>钢管：振鸿、广岐、华岐、友发、南粤
Ống thép: Zhenhong (振鸿), Guangqi (广岐), Huaqi (华岐), Youfa (友发), Nanyue (南粤)
保温：Ord、贝柠、华美、派柏士
Bảo ôn: Ord, Beining (贝柠), Huamei (华美), Paibaishi (派柏士)</t>
        </is>
      </c>
    </row>
    <row r="67" ht="235" customHeight="1">
      <c r="A67" s="11" t="n">
        <v>57</v>
      </c>
      <c r="B67" s="12" t="inlineStr">
        <is>
          <t>热镀锌钢管
Ống thép mạ kẽm nhúng nóng</t>
        </is>
      </c>
      <c r="C67" s="35" t="inlineStr">
        <is>
          <t>1.安装部位:室内
1. Vị trí lắp đặt: Trong nhà
2.介质:冷冻水
2. Môi chất: Nước lạnh
3.材质:热镀锌钢管
3. Vật liệu: Ống thép mạ kẽm nhúng nóng
4.规格:DN100*4.0
4. Quy cách: DN100*4.0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67" s="11" t="inlineStr">
        <is>
          <t>m</t>
        </is>
      </c>
      <c r="E67" s="36" t="n">
        <v>90</v>
      </c>
      <c r="F67" s="15" t="n"/>
      <c r="G67" s="15" t="n"/>
      <c r="H67" s="15">
        <f>F67+G67</f>
        <v/>
      </c>
      <c r="I67" s="13">
        <f>E67*H67</f>
        <v/>
      </c>
      <c r="J67" s="35" t="inlineStr">
        <is>
          <t>钢管：振鸿、广岐、华岐、友发、南粤
Ống thép: Zhenhong (振鸿), Guangqi (广岐), Huaqi (华岐), Youfa (友发), Nanyue (南粤)
保温：Ord、贝柠、华美、派柏士
Bảo ôn: Ord, Beining (贝柠), Huamei (华美), Paibaishi (派柏士)</t>
        </is>
      </c>
    </row>
    <row r="68" ht="235" customHeight="1">
      <c r="A68" s="11" t="n">
        <v>58</v>
      </c>
      <c r="B68" s="12" t="inlineStr">
        <is>
          <t>热镀锌钢管
Ống thép mạ kẽm nhúng nóng</t>
        </is>
      </c>
      <c r="C68" s="35" t="inlineStr">
        <is>
          <t>1.安装部位:室内
1. Vị trí lắp đặt: Trong nhà
2.介质:冷冻水
2. Môi chất: Nước lạnh
3.材质:热镀锌钢管
3. Vật liệu: Ống thép mạ kẽm nhúng nóng
4.规格:DN80*4.0
4. Quy cách: DN80*4.0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68" s="11" t="inlineStr">
        <is>
          <t>m</t>
        </is>
      </c>
      <c r="E68" s="36" t="n">
        <v>198</v>
      </c>
      <c r="F68" s="15" t="n"/>
      <c r="G68" s="15" t="n"/>
      <c r="H68" s="15">
        <f>F68+G68</f>
        <v/>
      </c>
      <c r="I68" s="13">
        <f>E68*H68</f>
        <v/>
      </c>
      <c r="J68" s="35" t="inlineStr">
        <is>
          <t>钢管：振鸿、广岐、华岐、友发、南粤
Ống thép: Zhenhong (振鸿), Guangqi (广岐), Huaqi (华岐), Youfa (友发), Nanyue (南粤)
保温：Ord、贝柠、华美、派柏士
Bảo ôn: Ord, Beining (贝柠), Huamei (华美), Paibaishi (派柏士)</t>
        </is>
      </c>
    </row>
    <row r="69" ht="235" customHeight="1">
      <c r="A69" s="11" t="n">
        <v>59</v>
      </c>
      <c r="B69" s="12" t="inlineStr">
        <is>
          <t>热镀锌钢管
Ống thép mạ kẽm nhúng nóng</t>
        </is>
      </c>
      <c r="C69" s="35" t="inlineStr">
        <is>
          <t>1.安装部位:室内
1. Vị trí lắp đặt: Trong nhà
2.介质:冷冻水
2. Môi chất: Nước lạnh
3.材质:热镀锌钢管
3. Vật liệu: Ống thép mạ kẽm nhúng nóng
4.规格:DN65*3.75
4. Quy cách: DN65*3.75
5.连接形式:焊接
5. Hình thức kết nối: Hàn
6.压力试验及吹、洗设计要求:按设计规范要求
6. Yêu cầu thiết kế về thử áp lực và thổi, rửa: Theo yêu cầu của quy phạm thiết kế
7.防腐:防锈漆二道
7. Chống ăn mòn: Sơn chống gỉ hai lớp
8.保温层:难燃(B1级)柔性泡沫橡塑δ=30mm
8. Lớp bảo ôn: Cao su-nhựa xốp mềm khó cháy (cấp B1) δ=30mm
9.含连接管件
9. Gồm phụ kiện nối ống
10.其他:符合设计图纸以及施工规范要求
10. Khác: Phù hợp yêu cầu của bản vẽ thiết kế và quy phạm thi công</t>
        </is>
      </c>
      <c r="D69" s="11" t="inlineStr">
        <is>
          <t>m</t>
        </is>
      </c>
      <c r="E69" s="36" t="n">
        <v>138</v>
      </c>
      <c r="F69" s="15" t="n"/>
      <c r="G69" s="15" t="n"/>
      <c r="H69" s="15">
        <f>F69+G69</f>
        <v/>
      </c>
      <c r="I69" s="13">
        <f>E69*H69</f>
        <v/>
      </c>
      <c r="J69" s="35" t="inlineStr">
        <is>
          <t>钢管：振鸿、广岐、华岐、友发、南粤
Ống thép: Zhenhong (振鸿), Guangqi (广岐), Huaqi (华岐), Youfa (友发), Nanyue (南粤)
保温：Ord、贝柠、华美、派柏士
Bảo ôn: Ord, Beining (贝柠), Huamei (华美), Paibaishi (派柏士)</t>
        </is>
      </c>
    </row>
    <row r="70" ht="143" customHeight="1">
      <c r="A70" s="11" t="n">
        <v>60</v>
      </c>
      <c r="B70" s="12" t="inlineStr">
        <is>
          <t>排水管（恒温恒湿空调系统排水）
Ống thoát nước (thoát nước hệ thống điều hòa ổn định nhiệt độ - độ ẩm)</t>
        </is>
      </c>
      <c r="C70" s="35" t="inlineStr">
        <is>
          <t>1.材质:PPR热水管
1. Vật liệu: Ống nước nóng PPR
2.规格:De75
2. Quy cách: De75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70" s="11" t="inlineStr">
        <is>
          <t>m</t>
        </is>
      </c>
      <c r="E70" s="36" t="n">
        <v>72</v>
      </c>
      <c r="F70" s="15" t="n"/>
      <c r="G70" s="15" t="n"/>
      <c r="H70" s="15">
        <f>F70+G70</f>
        <v/>
      </c>
      <c r="I70" s="13">
        <f>E70*H70</f>
        <v/>
      </c>
      <c r="J70" s="35" t="inlineStr">
        <is>
          <t>PVC管：联塑、日丰
Ống PVC: Lesso (联塑), Rifeng (日丰)
保温：Ord、贝柠、华美、派柏士
Bảo ôn: Ord, Beining (贝柠), Huamei (华美), Paibaishi (派柏士)</t>
        </is>
      </c>
    </row>
    <row r="71" ht="143" customHeight="1">
      <c r="A71" s="11" t="n">
        <v>61</v>
      </c>
      <c r="B71" s="12" t="inlineStr">
        <is>
          <t>排水管（恒温恒湿空调系统排水）
Ống thoát nước (thoát nước hệ thống điều hòa ổn định nhiệt độ - độ ẩm)</t>
        </is>
      </c>
      <c r="C71" s="35" t="inlineStr">
        <is>
          <t>1.材质:PPR热水管
1. Vật liệu: Ống nước nóng PPR
2.规格:De63
2. Quy cách: De63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71" s="11" t="inlineStr">
        <is>
          <t>m</t>
        </is>
      </c>
      <c r="E71" s="36" t="n">
        <v>164</v>
      </c>
      <c r="F71" s="15" t="n"/>
      <c r="G71" s="15" t="n"/>
      <c r="H71" s="15">
        <f>F71+G71</f>
        <v/>
      </c>
      <c r="I71" s="13">
        <f>E71*H71</f>
        <v/>
      </c>
      <c r="J71" s="35" t="inlineStr">
        <is>
          <t>PVC管：联塑、日丰
Ống PVC: Lesso (联塑), Rifeng (日丰)
保温：Ord、贝柠、华美、派柏士
Bảo ôn: Ord, Beining (贝柠), Huamei (华美), Paibaishi (派柏士)</t>
        </is>
      </c>
    </row>
    <row r="72" ht="143" customHeight="1">
      <c r="A72" s="11" t="n">
        <v>62</v>
      </c>
      <c r="B72" s="12" t="inlineStr">
        <is>
          <t>排水管（恒温恒湿空调系统排水）
Ống thoát nước (thoát nước hệ thống điều hòa ổn định nhiệt độ - độ ẩm)</t>
        </is>
      </c>
      <c r="C72" s="35" t="inlineStr">
        <is>
          <t>1.材质:PPR热水管
1. Vật liệu: Ống nước nóng PPR
2.规格:De40
2. Quy cách: De40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72" s="11" t="inlineStr">
        <is>
          <t>m</t>
        </is>
      </c>
      <c r="E72" s="36" t="n">
        <v>124</v>
      </c>
      <c r="F72" s="15" t="n"/>
      <c r="G72" s="15" t="n"/>
      <c r="H72" s="15">
        <f>F72+G72</f>
        <v/>
      </c>
      <c r="I72" s="13">
        <f>E72*H72</f>
        <v/>
      </c>
      <c r="J72" s="35" t="inlineStr">
        <is>
          <t>PVC管：联塑、日丰
Ống PVC: Lesso (联塑), Rifeng (日丰)
保温：Ord、贝柠、华美、派柏士
Bảo ôn: Ord, Beining (贝柠), Huamei (华美), Paibaishi (派柏士)</t>
        </is>
      </c>
    </row>
    <row r="73" ht="143" customHeight="1">
      <c r="A73" s="11" t="n">
        <v>63</v>
      </c>
      <c r="B73" s="12" t="inlineStr">
        <is>
          <t>冷凝水排水管
Ống thoát nước ngưng</t>
        </is>
      </c>
      <c r="C73" s="35" t="inlineStr">
        <is>
          <t>1.材质:PVC给水管
1. Vật liệu: Ống cấp nước PVC
2.规格:De75
2. Quy cách: De75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73" s="11" t="inlineStr">
        <is>
          <t>m</t>
        </is>
      </c>
      <c r="E73" s="36" t="n">
        <v>56</v>
      </c>
      <c r="F73" s="15" t="n"/>
      <c r="G73" s="15" t="n"/>
      <c r="H73" s="15">
        <f>F73+G73</f>
        <v/>
      </c>
      <c r="I73" s="13">
        <f>E73*H73</f>
        <v/>
      </c>
      <c r="J73" s="35" t="inlineStr">
        <is>
          <t>PVC管：联塑、日丰
Ống PVC: Lesso (联塑), Rifeng (日丰)
保温：Ord、贝柠、华美、派柏士
Bảo ôn: Ord, Beining (贝柠), Huamei (华美), Paibaishi (派柏士)</t>
        </is>
      </c>
    </row>
    <row r="74" ht="143" customHeight="1">
      <c r="A74" s="11" t="n">
        <v>64</v>
      </c>
      <c r="B74" s="12" t="inlineStr">
        <is>
          <t>冷凝水排水管
Ống thoát nước ngưng</t>
        </is>
      </c>
      <c r="C74" s="35" t="inlineStr">
        <is>
          <t>1.材质:PVC给水管
1. Vật liệu: Ống cấp nước PVC
2.规格:De63
2. Quy cách: De63
3.连接形式:粘接
3. Hình thức kết nối: Dán keo
4.保温层:难燃(B1级)柔性泡沫橡塑δ=20mm
4. Lớp bảo ôn: Cao su-nhựa xốp mềm khó cháy (cấp B1) δ=20mm
5.含连接管件
5. Gồm phụ kiện nối ống
6.其他:符合设计图纸以及施工规范要求
6. Khác: Phù hợp yêu cầu của bản vẽ thiết kế và quy phạm thi công</t>
        </is>
      </c>
      <c r="D74" s="11" t="inlineStr">
        <is>
          <t>m</t>
        </is>
      </c>
      <c r="E74" s="36" t="n">
        <v>212</v>
      </c>
      <c r="F74" s="15" t="n"/>
      <c r="G74" s="15" t="n"/>
      <c r="H74" s="15">
        <f>F74+G74</f>
        <v/>
      </c>
      <c r="I74" s="13">
        <f>E74*H74</f>
        <v/>
      </c>
      <c r="J74" s="35" t="inlineStr">
        <is>
          <t>PVC管：联塑、日丰
Ống PVC: Lesso (联塑), Rifeng (日丰)
保温：Ord、贝柠、华美、派柏士
Bảo ôn: Ord, Beining (贝柠), Huamei (华美), Paibaishi (派柏士)</t>
        </is>
      </c>
    </row>
    <row r="75" ht="143" customHeight="1">
      <c r="A75" s="11" t="n">
        <v>65</v>
      </c>
      <c r="B75" s="12" t="inlineStr">
        <is>
          <t>冷凝水排水管
Ống thoát nước ngưng</t>
        </is>
      </c>
      <c r="C75" s="35" t="inlineStr">
        <is>
          <t>1.材质:PVC给水管
1. Vật liệu: Ống cấp nước PVC
2.规格:De40
2. Quy cách: De40
3.连接形式:粘接
3. Hình thức kết nối: Dán keo
4.保温层:难燃(B1级)柔性泡沫橡塑δ=15mm
4. Lớp bảo ôn: Cao su-nhựa xốp mềm khó cháy (cấp B1) δ=15mm
5.含连接管件
5. Gồm phụ kiện nối ống
6.其他:符合设计图纸以及施工规范要求
6. Khác: Phù hợp yêu cầu của bản vẽ thiết kế và quy phạm thi công</t>
        </is>
      </c>
      <c r="D75" s="11" t="inlineStr">
        <is>
          <t>m</t>
        </is>
      </c>
      <c r="E75" s="36" t="n">
        <v>68</v>
      </c>
      <c r="F75" s="15" t="n"/>
      <c r="G75" s="15" t="n"/>
      <c r="H75" s="15">
        <f>F75+G75</f>
        <v/>
      </c>
      <c r="I75" s="13">
        <f>E75*H75</f>
        <v/>
      </c>
      <c r="J75" s="35" t="inlineStr">
        <is>
          <t>PVC管：联塑、日丰
Ống PVC: Lesso (联塑), Rifeng (日丰)
保温：Ord、贝柠、华美、派柏士
Bảo ôn: Ord, Beining (贝柠), Huamei (华美), Paibaishi (派柏士)</t>
        </is>
      </c>
    </row>
    <row r="76" ht="97" customHeight="1">
      <c r="A76" s="11" t="n">
        <v>66</v>
      </c>
      <c r="B76" s="12" t="inlineStr">
        <is>
          <t>管道支架
Giá đỡ đường ống</t>
        </is>
      </c>
      <c r="C76" s="35" t="inlineStr">
        <is>
          <t>1.形式:吊托支架
1. Hình thức: Giá treo đỡ
2.材质:碳钢(型钢综合)
2. Vật liệu: Thép cacbon (tổng hợp thép hình)
3.除锈、刷油:手工除锈，防锈漆、调和漆各二道
3. Tẩy gỉ, sơn: Tẩy gỉ thủ công, sơn chống gỉ và sơn phủ mỗi loại hai lớp
4.其他:符合设计图纸以及施工规范要求
4. Khác: Phù hợp yêu cầu của bản vẽ thiết kế và quy phạm thi công</t>
        </is>
      </c>
      <c r="D76" s="11" t="inlineStr">
        <is>
          <t>kg</t>
        </is>
      </c>
      <c r="E76" s="40" t="n">
        <v>10485.8</v>
      </c>
      <c r="F76" s="15" t="n"/>
      <c r="G76" s="15" t="n"/>
      <c r="H76" s="15">
        <f>F76+G76</f>
        <v/>
      </c>
      <c r="I76" s="13">
        <f>E76*H76</f>
        <v/>
      </c>
      <c r="J76" s="35" t="inlineStr">
        <is>
          <t>国标
Tiêu chuẩn quốc gia (GB)</t>
        </is>
      </c>
    </row>
    <row r="77" ht="85.5" customHeight="1">
      <c r="A77" s="11" t="n">
        <v>67</v>
      </c>
      <c r="B77" s="12" t="inlineStr">
        <is>
          <t>比例积分调节阀
Van điều chỉnh tỷ lệ - tích phân (PI)</t>
        </is>
      </c>
      <c r="C77" s="35" t="inlineStr">
        <is>
          <t>1.类型:比例积分调节阀
1. Loại: Van điều chỉnh tỷ lệ - tích phân (PI)
2.规格:DN100
2. Quy cách: DN100
3.连接形式:法兰连接                     4.其他:符合设计图纸以及施工规范要求
3. Hình thức kết nối: Nối mặt bích                     4. Khác: Phù hợp yêu cầu của bản vẽ thiết kế và quy phạm thi công</t>
        </is>
      </c>
      <c r="D77" s="11" t="inlineStr">
        <is>
          <t>个
Cái</t>
        </is>
      </c>
      <c r="E77" s="36" t="n">
        <v>4</v>
      </c>
      <c r="F77" s="15" t="n"/>
      <c r="G77" s="15" t="n"/>
      <c r="H77" s="15">
        <f>F77+G77</f>
        <v/>
      </c>
      <c r="I77" s="13">
        <f>E77*H77</f>
        <v/>
      </c>
      <c r="J77" s="35" t="inlineStr">
        <is>
          <t>江森、霍尼韦尔、西门子
Johnson Controls (江森), Honeywell (霍尼韦尔), Siemens (西门子)</t>
        </is>
      </c>
    </row>
    <row r="78" ht="85.5" customHeight="1">
      <c r="A78" s="11" t="n">
        <v>68</v>
      </c>
      <c r="B78" s="12" t="inlineStr">
        <is>
          <t>比例积分调节阀
Van điều chỉnh tỷ lệ - tích phân (PI)</t>
        </is>
      </c>
      <c r="C78" s="35" t="inlineStr">
        <is>
          <t>1.类型:比例积分调节阀
1. Loại: Van điều chỉnh tỷ lệ - tích phân (PI)
2.规格:DN80
2. Quy cách: DN80
3.连接形式:法兰连接                     4.其他:符合设计图纸以及施工规范要求
3. Hình thức kết nối: Nối mặt bích                     4. Khác: Phù hợp yêu cầu của bản vẽ thiết kế và quy phạm thi công</t>
        </is>
      </c>
      <c r="D78" s="11" t="inlineStr">
        <is>
          <t>个
Cái</t>
        </is>
      </c>
      <c r="E78" s="36" t="n">
        <v>16</v>
      </c>
      <c r="F78" s="15" t="n"/>
      <c r="G78" s="15" t="n"/>
      <c r="H78" s="15">
        <f>F78+G78</f>
        <v/>
      </c>
      <c r="I78" s="13">
        <f>E78*H78</f>
        <v/>
      </c>
      <c r="J78" s="35" t="inlineStr">
        <is>
          <t>江森、霍尼韦尔、西门子
Johnson Controls (江森), Honeywell (霍尼韦尔), Siemens (西门子)</t>
        </is>
      </c>
    </row>
    <row r="79" ht="97" customHeight="1">
      <c r="A79" s="11" t="n">
        <v>69</v>
      </c>
      <c r="B79" s="12" t="inlineStr">
        <is>
          <t>比例积分调节阀
Van điều chỉnh tỷ lệ - tích phân (PI)</t>
        </is>
      </c>
      <c r="C79" s="35" t="inlineStr">
        <is>
          <t>1.类型:比例积分调节阀
1. Loại: Van điều chỉnh tỷ lệ - tích phân (PI)
2.规格:DN65
2. Quy cách: DN65
3.连接形式:法兰连接
3. Hình thức kết nối: Nối mặt bích
4.其他:符合设计图纸以及施工规范要求
4. Khác: Phù hợp yêu cầu của bản vẽ thiết kế và quy phạm thi công</t>
        </is>
      </c>
      <c r="D79" s="11" t="inlineStr">
        <is>
          <t>个
Cái</t>
        </is>
      </c>
      <c r="E79" s="36" t="n">
        <v>25</v>
      </c>
      <c r="F79" s="15" t="n"/>
      <c r="G79" s="15" t="n"/>
      <c r="H79" s="15">
        <f>F79+G79</f>
        <v/>
      </c>
      <c r="I79" s="13">
        <f>E79*H79</f>
        <v/>
      </c>
      <c r="J79" s="35" t="inlineStr">
        <is>
          <t>江森、霍尼韦尔、西门子
Johnson Controls (江森), Honeywell (霍尼韦尔), Siemens (西门子)</t>
        </is>
      </c>
    </row>
    <row r="80" ht="97" customHeight="1">
      <c r="A80" s="11" t="n">
        <v>70</v>
      </c>
      <c r="B80" s="12" t="inlineStr">
        <is>
          <t>蜗轮对夹式蝶阀
Van bướm kiểu kẹp (wafer) vận hành bằng bánh vít</t>
        </is>
      </c>
      <c r="C80" s="35" t="inlineStr">
        <is>
          <t>1.类型:蜗轮对夹式蝶阀
1. Loại: Van bướm kiểu kẹp (wafer) vận hành bằng bánh vít
2.规格:DN250
2. Quy cách: DN250
3.连接形式:法兰连接
3. Hình thức kết nối: Nối mặt bích
4其他:符合设计图纸以及施工规范要求
4 Khác: Phù hợp yêu cầu của bản vẽ thiết kế và quy phạm thi công</t>
        </is>
      </c>
      <c r="D80" s="11" t="inlineStr">
        <is>
          <t>个
Cái</t>
        </is>
      </c>
      <c r="E80" s="36" t="n">
        <v>2</v>
      </c>
      <c r="F80" s="15" t="n"/>
      <c r="G80" s="15" t="n"/>
      <c r="H80" s="15">
        <f>F80+G80</f>
        <v/>
      </c>
      <c r="I80" s="13">
        <f>E80*H80</f>
        <v/>
      </c>
      <c r="J80" s="35" t="inlineStr">
        <is>
          <t>塘沽利盾、塘沽申瑞德、塘沽富恒星
Tanggu Lidun (塘沽利盾), Tanggu Shenruide (塘沽申瑞德), Tanggu Fuhengxing (塘沽富恒星)</t>
        </is>
      </c>
    </row>
    <row r="81" ht="97" customHeight="1">
      <c r="A81" s="11" t="n">
        <v>71</v>
      </c>
      <c r="B81" s="12" t="inlineStr">
        <is>
          <t>蜗轮对夹式蝶阀
Van bướm kiểu kẹp (wafer) vận hành bằng bánh vít</t>
        </is>
      </c>
      <c r="C81" s="35" t="inlineStr">
        <is>
          <t>1.类型:蜗轮对夹式蝶阀
1. Loại: Van bướm kiểu kẹp (wafer) vận hành bằng bánh vít
2.规格:DN200
2. Quy cách: DN200
3.连接形式:法兰连接
3. Hình thức kết nối: Nối mặt bích
4.其他:符合设计图纸以及施工规范要求
4. Khác: Phù hợp yêu cầu của bản vẽ thiết kế và quy phạm thi công</t>
        </is>
      </c>
      <c r="D81" s="11" t="inlineStr">
        <is>
          <t>个
Cái</t>
        </is>
      </c>
      <c r="E81" s="36" t="n">
        <v>6</v>
      </c>
      <c r="F81" s="15" t="n"/>
      <c r="G81" s="15" t="n"/>
      <c r="H81" s="15">
        <f>F81+G81</f>
        <v/>
      </c>
      <c r="I81" s="13">
        <f>E81*H81</f>
        <v/>
      </c>
      <c r="J81" s="35" t="inlineStr">
        <is>
          <t>塘沽利盾、塘沽申瑞德、塘沽富恒星
Tanggu Lidun (塘沽利盾), Tanggu Shenruide (塘沽申瑞德), Tanggu Fuhengxing (塘沽富恒星)</t>
        </is>
      </c>
    </row>
    <row r="82" ht="97" customHeight="1">
      <c r="A82" s="11" t="n">
        <v>72</v>
      </c>
      <c r="B82" s="12" t="inlineStr">
        <is>
          <t>蜗轮对夹式蝶阀
Van bướm kiểu kẹp (wafer) vận hành bằng bánh vít</t>
        </is>
      </c>
      <c r="C82" s="35" t="inlineStr">
        <is>
          <t>1.类型:蜗轮对夹式蝶阀
1. Loại: Van bướm kiểu kẹp (wafer) vận hành bằng bánh vít
2.规格:DN100
2. Quy cách: DN100
3.连接形式:法兰连接
3. Hình thức kết nối: Nối mặt bích
4.其他:符合设计图纸以及施工规范要求
4. Khác: Phù hợp yêu cầu của bản vẽ thiết kế và quy phạm thi công</t>
        </is>
      </c>
      <c r="D82" s="11" t="inlineStr">
        <is>
          <t>个
Cái</t>
        </is>
      </c>
      <c r="E82" s="36" t="n">
        <v>8</v>
      </c>
      <c r="F82" s="15" t="n"/>
      <c r="G82" s="15" t="n"/>
      <c r="H82" s="15">
        <f>F82+G82</f>
        <v/>
      </c>
      <c r="I82" s="13">
        <f>E82*H82</f>
        <v/>
      </c>
      <c r="J82" s="35" t="inlineStr">
        <is>
          <t>塘沽利盾、塘沽申瑞德、塘沽富恒星
Tanggu Lidun (塘沽利盾), Tanggu Shenruide (塘沽申瑞德), Tanggu Fuhengxing (塘沽富恒星)</t>
        </is>
      </c>
    </row>
    <row r="83" ht="97" customHeight="1">
      <c r="A83" s="11" t="n">
        <v>73</v>
      </c>
      <c r="B83" s="12" t="inlineStr">
        <is>
          <t>蜗轮对夹式蝶阀
Van bướm kiểu kẹp (wafer) vận hành bằng bánh vít</t>
        </is>
      </c>
      <c r="C83" s="35" t="inlineStr">
        <is>
          <t>1.类型:蜗轮对夹式蝶阀
1. Loại: Van bướm kiểu kẹp (wafer) vận hành bằng bánh vít
2.规格:DN80
2. Quy cách: DN80
3.连接形式:法兰连接
3. Hình thức kết nối: Nối mặt bích
4.其他:符合设计图纸以及施工规范要求
4. Khác: Phù hợp yêu cầu của bản vẽ thiết kế và quy phạm thi công</t>
        </is>
      </c>
      <c r="D83" s="11" t="inlineStr">
        <is>
          <t>个
Cái</t>
        </is>
      </c>
      <c r="E83" s="36" t="n">
        <v>32</v>
      </c>
      <c r="F83" s="15" t="n"/>
      <c r="G83" s="15" t="n"/>
      <c r="H83" s="15">
        <f>F83+G83</f>
        <v/>
      </c>
      <c r="I83" s="13">
        <f>E83*H83</f>
        <v/>
      </c>
      <c r="J83" s="35" t="inlineStr">
        <is>
          <t>塘沽利盾、塘沽申瑞德、塘沽富恒星
Tanggu Lidun (塘沽利盾), Tanggu Shenruide (塘沽申瑞德), Tanggu Fuhengxing (塘沽富恒星)</t>
        </is>
      </c>
    </row>
    <row r="84" ht="97" customHeight="1">
      <c r="A84" s="11" t="n">
        <v>74</v>
      </c>
      <c r="B84" s="12" t="inlineStr">
        <is>
          <t>蜗轮对夹式蝶阀
Van bướm kiểu kẹp (wafer) vận hành bằng bánh vít</t>
        </is>
      </c>
      <c r="C84" s="35" t="inlineStr">
        <is>
          <t>1.类型:蜗轮对夹式蝶阀
1. Loại: Van bướm kiểu kẹp (wafer) vận hành bằng bánh vít
2.规格:DN65
2. Quy cách: DN65
3.连接形式:法兰连接
3. Hình thức kết nối: Nối mặt bích
4.其他:符合设计图纸以及施工规范要求
4. Khác: Phù hợp yêu cầu của bản vẽ thiết kế và quy phạm thi công</t>
        </is>
      </c>
      <c r="D84" s="11" t="inlineStr">
        <is>
          <t>个
Cái</t>
        </is>
      </c>
      <c r="E84" s="36" t="n">
        <v>50</v>
      </c>
      <c r="F84" s="15" t="n"/>
      <c r="G84" s="15" t="n"/>
      <c r="H84" s="15">
        <f>F84+G84</f>
        <v/>
      </c>
      <c r="I84" s="13">
        <f>E84*H84</f>
        <v/>
      </c>
      <c r="J84" s="35" t="inlineStr">
        <is>
          <t>塘沽利盾、塘沽申瑞德、塘沽富恒星
Tanggu Lidun (塘沽利盾), Tanggu Shenruide (塘沽申瑞德), Tanggu Fuhengxing (塘沽富恒星)</t>
        </is>
      </c>
    </row>
    <row r="85" ht="97" customHeight="1">
      <c r="A85" s="11" t="n">
        <v>75</v>
      </c>
      <c r="B85" s="12" t="inlineStr">
        <is>
          <t>Y型过滤器
Bộ lọc chữ Y</t>
        </is>
      </c>
      <c r="C85" s="35" t="inlineStr">
        <is>
          <t>1.类型:Y型过滤器
1. Loại: Bộ lọc chữ Y
2.规格:DN100
2. Quy cách: DN100
3.连接形式:法兰连接
3. Hình thức kết nối: Nối mặt bích
4.其他:符合设计图纸以及施工规范要求
4. Khác: Phù hợp yêu cầu của bản vẽ thiết kế và quy phạm thi công</t>
        </is>
      </c>
      <c r="D85" s="11" t="inlineStr">
        <is>
          <t>个
Cái</t>
        </is>
      </c>
      <c r="E85" s="36" t="n">
        <v>4</v>
      </c>
      <c r="F85" s="15" t="n"/>
      <c r="G85" s="15" t="n"/>
      <c r="H85" s="15">
        <f>F85+G85</f>
        <v/>
      </c>
      <c r="I85" s="13">
        <f>E85*H85</f>
        <v/>
      </c>
      <c r="J85" s="35" t="inlineStr">
        <is>
          <t>塘沽利盾、塘沽申瑞德、塘沽富恒星
Tanggu Lidun (塘沽利盾), Tanggu Shenruide (塘沽申瑞德), Tanggu Fuhengxing (塘沽富恒星)</t>
        </is>
      </c>
    </row>
    <row r="86" ht="97" customHeight="1">
      <c r="A86" s="11" t="n">
        <v>76</v>
      </c>
      <c r="B86" s="12" t="inlineStr">
        <is>
          <t>Y型过滤器
Bộ lọc chữ Y</t>
        </is>
      </c>
      <c r="C86" s="35" t="inlineStr">
        <is>
          <t>1.类型:Y型过滤器
1. Loại: Bộ lọc chữ Y
2.规格:DN80
2. Quy cách: DN80
3.连接形式:法兰连接
3. Hình thức kết nối: Nối mặt bích
4.其他:符合设计图纸以及施工规范要求
4. Khác: Phù hợp yêu cầu của bản vẽ thiết kế và quy phạm thi công</t>
        </is>
      </c>
      <c r="D86" s="11" t="inlineStr">
        <is>
          <t>个
Cái</t>
        </is>
      </c>
      <c r="E86" s="36" t="n">
        <v>16</v>
      </c>
      <c r="F86" s="15" t="n"/>
      <c r="G86" s="15" t="n"/>
      <c r="H86" s="15">
        <f>F86+G86</f>
        <v/>
      </c>
      <c r="I86" s="13">
        <f>E86*H86</f>
        <v/>
      </c>
      <c r="J86" s="35" t="inlineStr">
        <is>
          <t>塘沽利盾、塘沽申瑞德、塘沽富恒星
Tanggu Lidun (塘沽利盾), Tanggu Shenruide (塘沽申瑞德), Tanggu Fuhengxing (塘沽富恒星)</t>
        </is>
      </c>
    </row>
    <row r="87" ht="97" customHeight="1">
      <c r="A87" s="11" t="n">
        <v>77</v>
      </c>
      <c r="B87" s="12" t="inlineStr">
        <is>
          <t>Y型过滤器
Bộ lọc chữ Y</t>
        </is>
      </c>
      <c r="C87" s="35" t="inlineStr">
        <is>
          <t>1.类型:Y型过滤器
1. Loại: Bộ lọc chữ Y
2.规格:DN65
2. Quy cách: DN65
3.连接形式:法兰连接
3. Hình thức kết nối: Nối mặt bích
4.其他:符合设计图纸以及施工规范要求
4. Khác: Phù hợp yêu cầu của bản vẽ thiết kế và quy phạm thi công</t>
        </is>
      </c>
      <c r="D87" s="11" t="inlineStr">
        <is>
          <t>个
Cái</t>
        </is>
      </c>
      <c r="E87" s="36" t="n">
        <v>25</v>
      </c>
      <c r="F87" s="15" t="n"/>
      <c r="G87" s="15" t="n"/>
      <c r="H87" s="15">
        <f>F87+G87</f>
        <v/>
      </c>
      <c r="I87" s="13">
        <f>E87*H87</f>
        <v/>
      </c>
      <c r="J87" s="35" t="inlineStr">
        <is>
          <t>塘沽利盾、塘沽申瑞德、塘沽富恒星
Tanggu Lidun (塘沽利盾), Tanggu Shenruide (塘沽申瑞德), Tanggu Fuhengxing (塘沽富恒星)</t>
        </is>
      </c>
    </row>
    <row r="88" ht="97" customHeight="1">
      <c r="A88" s="11" t="n">
        <v>78</v>
      </c>
      <c r="B88" s="12" t="inlineStr">
        <is>
          <t>橡胶软接头
Khớp nối mềm cao su</t>
        </is>
      </c>
      <c r="C88" s="35" t="inlineStr">
        <is>
          <t>1.类型:橡胶软接头
1. Loại: Khớp nối mềm cao su
2.规格:DN80
2. Quy cách: DN80
3.连接形式:法兰连接
3. Hình thức kết nối: Nối mặt bích
4.其他:符合设计图纸以及施工规范要求
4. Khác: Phù hợp yêu cầu của bản vẽ thiết kế và quy phạm thi công</t>
        </is>
      </c>
      <c r="D88" s="11" t="inlineStr">
        <is>
          <t>个
Cái</t>
        </is>
      </c>
      <c r="E88" s="36" t="n">
        <v>32</v>
      </c>
      <c r="F88" s="15" t="n"/>
      <c r="G88" s="15" t="n"/>
      <c r="H88" s="15">
        <f>F88+G88</f>
        <v/>
      </c>
      <c r="I88" s="13">
        <f>E88*H88</f>
        <v/>
      </c>
      <c r="J88" s="35" t="inlineStr">
        <is>
          <t>塘沽利盾、塘沽申瑞德、塘沽富恒星
Tanggu Lidun (塘沽利盾), Tanggu Shenruide (塘沽申瑞德), Tanggu Fuhengxing (塘沽富恒星)</t>
        </is>
      </c>
    </row>
    <row r="89" ht="97" customHeight="1">
      <c r="A89" s="11" t="n">
        <v>79</v>
      </c>
      <c r="B89" s="12" t="inlineStr">
        <is>
          <t>橡胶软接头
Khớp nối mềm cao su</t>
        </is>
      </c>
      <c r="C89" s="35" t="inlineStr">
        <is>
          <t>1.类型:橡胶软接头
1. Loại: Khớp nối mềm cao su
2.规格:DN65
2. Quy cách: DN65
3.连接形式:法兰连接
3. Hình thức kết nối: Nối mặt bích
4.其他:符合设计图纸以及施工规范要求
4. Khác: Phù hợp yêu cầu của bản vẽ thiết kế và quy phạm thi công</t>
        </is>
      </c>
      <c r="D89" s="11" t="inlineStr">
        <is>
          <t>个
Cái</t>
        </is>
      </c>
      <c r="E89" s="36" t="n">
        <v>66</v>
      </c>
      <c r="F89" s="15" t="n"/>
      <c r="G89" s="15" t="n"/>
      <c r="H89" s="15">
        <f>F89+G89</f>
        <v/>
      </c>
      <c r="I89" s="13">
        <f>E89*H89</f>
        <v/>
      </c>
      <c r="J89" s="35" t="inlineStr">
        <is>
          <t>塘沽利盾、塘沽申瑞德、塘沽富恒星
Tanggu Lidun (塘沽利盾), Tanggu Shenruide (塘沽申瑞德), Tanggu Fuhengxing (塘沽富恒星)</t>
        </is>
      </c>
    </row>
    <row r="90" ht="74" customHeight="1">
      <c r="A90" s="11" t="n">
        <v>80</v>
      </c>
      <c r="B90" s="12" t="inlineStr">
        <is>
          <t>套管温度计
Nhiệt kế kiểu ống bọc</t>
        </is>
      </c>
      <c r="C90" s="35" t="inlineStr">
        <is>
          <t>1、名称:不锈钢套管式温度计
1. Tên: Nhiệt kế kiểu ống bọc bằng thép không gỉ
2、规格:0~50℃
2. Quy cách: 0~50℃
3.其他:符合设计图纸及施工规范要求
3. Khác: Phù hợp yêu cầu của bản vẽ thiết kế và quy phạm thi công</t>
        </is>
      </c>
      <c r="D90" s="11" t="inlineStr">
        <is>
          <t>支
Chiếc</t>
        </is>
      </c>
      <c r="E90" s="36" t="n">
        <v>90</v>
      </c>
      <c r="F90" s="15" t="n"/>
      <c r="G90" s="15" t="n"/>
      <c r="H90" s="15">
        <f>F90+G90</f>
        <v/>
      </c>
      <c r="I90" s="13">
        <f>E90*H90</f>
        <v/>
      </c>
      <c r="J90" s="35" t="inlineStr">
        <is>
          <t>塘沽利盾、红旗、华科、富阳
Tanggu Lidun (塘沽利盾), Hongqi (红旗), Huake (华科), Fuyang (富阳)</t>
        </is>
      </c>
    </row>
    <row r="91" ht="85.5" customHeight="1">
      <c r="A91" s="11" t="n">
        <v>81</v>
      </c>
      <c r="B91" s="12" t="inlineStr">
        <is>
          <t>压力表
Đồng hồ áp suất</t>
        </is>
      </c>
      <c r="C91" s="35" t="inlineStr">
        <is>
          <t>1、名称:压力表（0-1.6MPa）
1. Tên: Đồng hồ áp suất (0-1.6MPa)
2、表盘直径100mm，含不锈钢表弯、含DN15铜球阀
2. Đường kính mặt đồng hồ 100mm, gồm ống siphon (ống cong) bằng thép không gỉ, gồm van bi đồng DN15
3.其他:符合设计图纸及施工规范要求
3. Khác: Phù hợp yêu cầu của bản vẽ thiết kế và quy phạm thi công</t>
        </is>
      </c>
      <c r="D91" s="11" t="inlineStr">
        <is>
          <t>块
Cái</t>
        </is>
      </c>
      <c r="E91" s="36" t="n">
        <v>90</v>
      </c>
      <c r="F91" s="15" t="n"/>
      <c r="G91" s="15" t="n"/>
      <c r="H91" s="15">
        <f>F91+G91</f>
        <v/>
      </c>
      <c r="I91" s="13">
        <f>E91*H91</f>
        <v/>
      </c>
      <c r="J91" s="35" t="inlineStr">
        <is>
          <t>塘沽利盾、红旗、华科、富阳
Tanggu Lidun (塘沽利盾), Hongqi (红旗), Huake (华科), Fuyang (富阳)</t>
        </is>
      </c>
    </row>
    <row r="92" ht="97" customHeight="1">
      <c r="A92" s="11" t="n">
        <v>82</v>
      </c>
      <c r="B92" s="12" t="inlineStr">
        <is>
          <t>自动排气阀
Van xả khí tự động</t>
        </is>
      </c>
      <c r="C92" s="35" t="inlineStr">
        <is>
          <t>1.类型:自动排气阀
1. Loại: Van xả khí tự động
2.规格:DN20，含配套DN20球阀
2. Quy cách: DN20, gồm van bi DN20 đi kèm
3.连接形式:螺纹连接
3. Hình thức kết nối: Nối ren
4.其他:符合设计图纸及施工规范要求
4. Khác: Phù hợp yêu cầu của bản vẽ thiết kế và quy phạm thi công</t>
        </is>
      </c>
      <c r="D92" s="11" t="inlineStr">
        <is>
          <t>个
Cái</t>
        </is>
      </c>
      <c r="E92" s="36" t="n">
        <v>90</v>
      </c>
      <c r="F92" s="15" t="n"/>
      <c r="G92" s="15" t="n"/>
      <c r="H92" s="15">
        <f>F92+G92</f>
        <v/>
      </c>
      <c r="I92" s="13">
        <f>E92*H92</f>
        <v/>
      </c>
      <c r="J92" s="35" t="inlineStr">
        <is>
          <t>埃美柯、塘沽利盾、塘沽申瑞德、塘沽富恒星
AMICO (埃美柯), Tanggu Lidun (塘沽利盾), Tanggu Shenruide (塘沽申瑞德), Tanggu Fuhengxing (塘沽富恒星)</t>
        </is>
      </c>
    </row>
    <row r="93" ht="97" customHeight="1">
      <c r="A93" s="11" t="n">
        <v>83</v>
      </c>
      <c r="B93" s="12" t="inlineStr">
        <is>
          <t>泄水阀
Van xả nước</t>
        </is>
      </c>
      <c r="C93" s="35" t="inlineStr">
        <is>
          <t>1.类型:泄水阀
1. Loại: Van xả nước
2.规格:铜闸阀DN40
2. Quy cách: Van cổng bằng đồng DN40
3.连接形式:螺纹连接
3. Hình thức kết nối: Nối ren
4.其他:符合设计图纸以及施工规范要求
4. Khác: Phù hợp yêu cầu của bản vẽ thiết kế và quy phạm thi công</t>
        </is>
      </c>
      <c r="D93" s="11" t="inlineStr">
        <is>
          <t>个
Cái</t>
        </is>
      </c>
      <c r="E93" s="36" t="n">
        <v>8</v>
      </c>
      <c r="F93" s="15" t="n"/>
      <c r="G93" s="15" t="n"/>
      <c r="H93" s="15">
        <f>F93+G93</f>
        <v/>
      </c>
      <c r="I93" s="13">
        <f>E93*H93</f>
        <v/>
      </c>
      <c r="J93" s="35" t="inlineStr">
        <is>
          <t>埃美柯、塘沽利盾、塘沽申瑞德、塘沽富恒星
AMICO (埃美柯), Tanggu Lidun (塘沽利盾), Tanggu Shenruide (塘沽申瑞德), Tanggu Fuhengxing (塘沽富恒星)</t>
        </is>
      </c>
    </row>
    <row r="94" ht="74" customHeight="1">
      <c r="A94" s="11" t="n">
        <v>84</v>
      </c>
      <c r="B94" s="12" t="inlineStr">
        <is>
          <t>墙体开孔、洞及修复、套管制作安装
Khoan lỗ, mở lỗ tường và sửa chữa hoàn trả, chế tạo và lắp đặt ống lồng</t>
        </is>
      </c>
      <c r="C94" s="35" t="inlineStr">
        <is>
          <t>1.类型:墙体开孔及修复、套管制作安装
1. Loại: Khoan lỗ tường và sửa chữa hoàn trả, chế tạo và lắp đặt ống lồng
2.材质：穿墙刚性防水套管
2. Vật liệu: Ống lồng chống thấm loại cứng xuyên tường
3.其他:符合设计图纸以及施工规范要求
3. Khác: Phù hợp yêu cầu của bản vẽ thiết kế và quy phạm thi công</t>
        </is>
      </c>
      <c r="D94" s="11" t="inlineStr">
        <is>
          <t>项
Hạng mục</t>
        </is>
      </c>
      <c r="E94" s="36" t="n">
        <v>1</v>
      </c>
      <c r="F94" s="15" t="n"/>
      <c r="G94" s="15" t="n"/>
      <c r="H94" s="15">
        <f>F94+G94</f>
        <v/>
      </c>
      <c r="I94" s="13">
        <f>E94*H94</f>
        <v/>
      </c>
      <c r="J94" s="35" t="n"/>
    </row>
    <row r="95" ht="39.5" customHeight="1">
      <c r="A95" s="11" t="n">
        <v>85</v>
      </c>
      <c r="B95" s="12" t="inlineStr">
        <is>
          <t>空调系统检测、调试
Kiểm tra, chạy thử hệ thống điều hòa</t>
        </is>
      </c>
      <c r="C95" s="35" t="inlineStr">
        <is>
          <t>空调水工程系统调试
Chạy thử hệ thống công trình nước điều hòa</t>
        </is>
      </c>
      <c r="D95" s="11" t="inlineStr">
        <is>
          <t>系统
Hệ thống</t>
        </is>
      </c>
      <c r="E95" s="36" t="n">
        <v>1</v>
      </c>
      <c r="F95" s="15" t="n"/>
      <c r="G95" s="15" t="n"/>
      <c r="H95" s="15">
        <f>F95+G95</f>
        <v/>
      </c>
      <c r="I95" s="13">
        <f>E95*H95</f>
        <v/>
      </c>
      <c r="J95" s="35" t="n"/>
    </row>
    <row r="96">
      <c r="A96" s="37" t="n"/>
      <c r="B96" s="38" t="inlineStr">
        <is>
          <t>小计 / Cộng</t>
        </is>
      </c>
      <c r="C96" s="37" t="n"/>
      <c r="D96" s="37" t="n"/>
      <c r="E96" s="37" t="n"/>
      <c r="F96" s="37" t="n"/>
      <c r="G96" s="37" t="n"/>
      <c r="H96" s="37" t="n"/>
      <c r="I96" s="39">
        <f>SUM(I62:I95)</f>
        <v/>
      </c>
      <c r="J96" s="37" t="n"/>
    </row>
    <row r="97" ht="28" customHeight="1">
      <c r="A97" s="33" t="inlineStr">
        <is>
          <t>四、
IV.</t>
        </is>
      </c>
      <c r="B97" s="34" t="inlineStr">
        <is>
          <t>空调电气系统 / Hệ thống điện điều hòa</t>
        </is>
      </c>
      <c r="C97" s="34" t="n"/>
      <c r="D97" s="34" t="n"/>
      <c r="E97" s="34" t="n"/>
      <c r="F97" s="34" t="n"/>
      <c r="G97" s="34" t="n"/>
      <c r="H97" s="34" t="n"/>
      <c r="I97" s="34" t="n"/>
      <c r="J97" s="34" t="n"/>
    </row>
    <row r="98" ht="143" customHeight="1">
      <c r="A98" s="11" t="n">
        <v>86</v>
      </c>
      <c r="B98" s="12" t="inlineStr">
        <is>
          <t>AHU动力控制柜
Tủ điều khiển động lực AHU
APL-01</t>
        </is>
      </c>
      <c r="C98" s="35" t="inlineStr">
        <is>
          <t>1.名称：AHU动力控制柜
1. Tên: Tủ điều khiển động lực AHU
2.编号：APL-01
2. Mã hiệu: APL-01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5.仿威图机柜：1800*800*600
5. Tủ kiểu Rittal (威图): 1800*800*600</t>
        </is>
      </c>
      <c r="D98" s="11" t="inlineStr">
        <is>
          <t>台
Máy</t>
        </is>
      </c>
      <c r="E98" s="36" t="n">
        <v>1</v>
      </c>
      <c r="F98" s="15" t="n"/>
      <c r="G98" s="15" t="n"/>
      <c r="H98" s="15">
        <f>F98+G98</f>
        <v/>
      </c>
      <c r="I98" s="13">
        <f>E98*H98</f>
        <v/>
      </c>
      <c r="J98" s="35" t="inlineStr">
        <is>
          <t>变频器及电气元器件：ABB、施耐德
Biến tần và linh kiện điện: ABB, Schneider (施耐德)
多功能电表：安科瑞
Đồng hồ điện đa năng: Acrel (安科瑞)</t>
        </is>
      </c>
    </row>
    <row r="99" ht="143" customHeight="1">
      <c r="A99" s="11" t="n">
        <v>87</v>
      </c>
      <c r="B99" s="12" t="inlineStr">
        <is>
          <t>AHU动力控制柜
Tủ điều khiển động lực AHU
APL-02</t>
        </is>
      </c>
      <c r="C99" s="35" t="inlineStr">
        <is>
          <t>1.名称：AHU动力控制柜
1. Tên: Tủ điều khiển động lực AHU
2.编号：APL-02
2. Mã hiệu: APL-02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5.仿威图机柜：1800*800*600
5. Tủ kiểu Rittal (威图): 1800*800*600</t>
        </is>
      </c>
      <c r="D99" s="11" t="inlineStr">
        <is>
          <t>台
Máy</t>
        </is>
      </c>
      <c r="E99" s="36" t="n">
        <v>1</v>
      </c>
      <c r="F99" s="15" t="n"/>
      <c r="G99" s="15" t="n"/>
      <c r="H99" s="15">
        <f>F99+G99</f>
        <v/>
      </c>
      <c r="I99" s="13">
        <f>E99*H99</f>
        <v/>
      </c>
      <c r="J99" s="35" t="inlineStr">
        <is>
          <t>变频器及电气元器件：ABB、施耐德
Biến tần và linh kiện điện: ABB, Schneider (施耐德)
多功能电表：安科瑞
Đồng hồ điện đa năng: Acrel (安科瑞)</t>
        </is>
      </c>
    </row>
    <row r="100" ht="143" customHeight="1">
      <c r="A100" s="11" t="n">
        <v>88</v>
      </c>
      <c r="B100" s="12" t="inlineStr">
        <is>
          <t>AHU动力控制柜
Tủ điều khiển động lực AHU
APL-03～04</t>
        </is>
      </c>
      <c r="C100" s="35" t="inlineStr">
        <is>
          <t>1.名称：AHU动力控制柜
1. Tên: Tủ điều khiển động lực AHU
2.编号：APL-03～04
2. Mã hiệu: APL-03～04
3.成品柜，内含负荷开关、互感器、变频器、多功能电表、接触器、继电器、接线端子、按钮、指示灯等
3. Tủ thành phẩm, bên trong gồm cầu dao phụ tải, biến dòng, biến tần, đồng hồ điện đa năng, contactor, rơ-le, cầu đấu dây, nút nhấn, đèn báo, v.v.
4.安装方式：落地式
4. Phương thức lắp đặt: Đặt sàn
5.仿威图机柜：1800*1000*600
5. Tủ kiểu Rittal (威图): 1800*1000*600</t>
        </is>
      </c>
      <c r="D100" s="11" t="inlineStr">
        <is>
          <t>台
Máy</t>
        </is>
      </c>
      <c r="E100" s="36" t="n">
        <v>2</v>
      </c>
      <c r="F100" s="15" t="n"/>
      <c r="G100" s="15" t="n"/>
      <c r="H100" s="15">
        <f>F100+G100</f>
        <v/>
      </c>
      <c r="I100" s="13">
        <f>E100*H100</f>
        <v/>
      </c>
      <c r="J100" s="35" t="inlineStr">
        <is>
          <t>变频器及电气元器件：ABB、施耐德
Biến tần và linh kiện điện: ABB, Schneider (施耐德)
多功能电表：安科瑞
Đồng hồ điện đa năng: Acrel (安科瑞)</t>
        </is>
      </c>
    </row>
    <row r="101" ht="143" customHeight="1">
      <c r="A101" s="11" t="n">
        <v>89</v>
      </c>
      <c r="B101" s="12" t="inlineStr">
        <is>
          <t>RCU/FAU强弱电一体柜
Tủ tích hợp điện động lực - điện nhẹ RCU/FAU
APL-05、APL-08</t>
        </is>
      </c>
      <c r="C101" s="35" t="inlineStr">
        <is>
          <t>1.名称：RCU强弱电一体柜
1. Tên: Tủ tích hợp điện động lực - điện nhẹ RCU
2.编号：APL-05、APL-08
2. Mã hiệu: APL-05、APL-08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5.仿威图机柜：800*600*200
5. Tủ kiểu Rittal (威图): 800*600*200</t>
        </is>
      </c>
      <c r="D101" s="11" t="inlineStr">
        <is>
          <t>台
Máy</t>
        </is>
      </c>
      <c r="E101" s="36" t="n">
        <v>2</v>
      </c>
      <c r="F101" s="15" t="n"/>
      <c r="G101" s="15" t="n"/>
      <c r="H101" s="15">
        <f>F101+G101</f>
        <v/>
      </c>
      <c r="I101" s="13">
        <f>E101*H101</f>
        <v/>
      </c>
      <c r="J101" s="35" t="inlineStr">
        <is>
          <t>电气元器件：ABB、施耐德
Linh kiện điện: ABB, Schneider (施耐德)
多功能电表：安科瑞
Đồng hồ điện đa năng: Acrel (安科瑞)</t>
        </is>
      </c>
    </row>
    <row r="102" ht="143" customHeight="1">
      <c r="A102" s="11" t="n">
        <v>90</v>
      </c>
      <c r="B102" s="12" t="inlineStr">
        <is>
          <t>RCU/FAU强弱电一体柜
Tủ tích hợp điện động lực - điện nhẹ RCU/FAU
APL-06～07
APL-10</t>
        </is>
      </c>
      <c r="C102" s="35" t="inlineStr">
        <is>
          <t>1.名称：RCU强弱电一体柜
1. Tên: Tủ tích hợp điện động lực - điện nhẹ RCU
2.编号：APL-06～07、APL-10
2. Mã hiệu: APL-06～07、APL-10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5.仿威图机柜：800*600*200
5. Tủ kiểu Rittal (威图): 800*600*200</t>
        </is>
      </c>
      <c r="D102" s="11" t="inlineStr">
        <is>
          <t>台
Máy</t>
        </is>
      </c>
      <c r="E102" s="36" t="n">
        <v>3</v>
      </c>
      <c r="F102" s="15" t="n"/>
      <c r="G102" s="15" t="n"/>
      <c r="H102" s="15">
        <f>F102+G102</f>
        <v/>
      </c>
      <c r="I102" s="13">
        <f>E102*H102</f>
        <v/>
      </c>
      <c r="J102" s="35" t="inlineStr">
        <is>
          <t>电气元器件：ABB、施耐德
Linh kiện điện: ABB, Schneider (施耐德)
多功能电表：安科瑞
Đồng hồ điện đa năng: Acrel (安科瑞)</t>
        </is>
      </c>
    </row>
    <row r="103" ht="143" customHeight="1">
      <c r="A103" s="11" t="n">
        <v>91</v>
      </c>
      <c r="B103" s="12" t="inlineStr">
        <is>
          <t>RCU/FAU强弱电一体柜
Tủ tích hợp điện động lực - điện nhẹ RCU/FAU
APL-09</t>
        </is>
      </c>
      <c r="C103" s="35" t="inlineStr">
        <is>
          <t>1.名称：RCU强弱电一体柜
1. Tên: Tủ tích hợp điện động lực - điện nhẹ RCU
2.编号：APL-09
2. Mã hiệu: APL-09
3.成品柜，内含负荷开关、互感器、多功能电表、接触器、继电器、变压器、接线端子、按钮、指示灯等
3. Tủ thành phẩm, bên trong gồm cầu dao phụ tải, biến dòng, đồng hồ điện đa năng, contactor, rơ-le, máy biến áp, cầu đấu dây, nút nhấn, đèn báo, v.v.
4.安装方式：悬挂式
4. Phương thức lắp đặt: Treo tường
5.仿威图机柜：600×400×200
5. Tủ kiểu Rittal (威图): 600×400×200</t>
        </is>
      </c>
      <c r="D103" s="11" t="inlineStr">
        <is>
          <t>台
Máy</t>
        </is>
      </c>
      <c r="E103" s="36" t="n">
        <v>1</v>
      </c>
      <c r="F103" s="15" t="n"/>
      <c r="G103" s="15" t="n"/>
      <c r="H103" s="15">
        <f>F103+G103</f>
        <v/>
      </c>
      <c r="I103" s="13">
        <f>E103*H103</f>
        <v/>
      </c>
      <c r="J103" s="35" t="inlineStr">
        <is>
          <t>电气元器件：ABB、施耐德
Linh kiện điện: ABB, Schneider (施耐德)
多功能电表：安科瑞
Đồng hồ điện đa năng: Acrel (安科瑞)</t>
        </is>
      </c>
    </row>
    <row r="104" ht="74" customHeight="1">
      <c r="A104" s="11" t="n">
        <v>92</v>
      </c>
      <c r="B104" s="12" t="inlineStr">
        <is>
          <t>电力电缆
Cáp điện động lực</t>
        </is>
      </c>
      <c r="C104" s="35" t="inlineStr">
        <is>
          <t>1.名称:电力电缆
1. Tên: Cáp điện động lực
2.规格:YJV-3*10+1*6
2. Quy cách: YJV-3*10+1*6
3.材质:铜芯
3. Vật liệu: Lõi đồng</t>
        </is>
      </c>
      <c r="D104" s="11" t="inlineStr">
        <is>
          <t>m</t>
        </is>
      </c>
      <c r="E104" s="36" t="n">
        <v>203</v>
      </c>
      <c r="F104" s="15" t="n"/>
      <c r="G104" s="15" t="n"/>
      <c r="H104" s="15">
        <f>F104+G104</f>
        <v/>
      </c>
      <c r="I104" s="13">
        <f>E104*H104</f>
        <v/>
      </c>
      <c r="J104" s="35" t="inlineStr">
        <is>
          <t>深圳成天泰，南洋，LS,Taya
Shenzhen Chengtiantai (深圳成天泰), Nanyang (南洋), LS, Taya</t>
        </is>
      </c>
    </row>
    <row r="105" ht="74" customHeight="1">
      <c r="A105" s="11" t="n">
        <v>93</v>
      </c>
      <c r="B105" s="12" t="inlineStr">
        <is>
          <t>电力电缆
Cáp điện động lực</t>
        </is>
      </c>
      <c r="C105" s="35" t="inlineStr">
        <is>
          <t>1.名称:电力电缆
1. Tên: Cáp điện động lực
2.规格:YJV-4*6
2. Quy cách: YJV-4*6
3.材质:铜芯
3. Vật liệu: Lõi đồng</t>
        </is>
      </c>
      <c r="D105" s="11" t="inlineStr">
        <is>
          <t>m</t>
        </is>
      </c>
      <c r="E105" s="36" t="n">
        <v>138</v>
      </c>
      <c r="F105" s="15" t="n"/>
      <c r="G105" s="15" t="n"/>
      <c r="H105" s="15">
        <f>F105+G105</f>
        <v/>
      </c>
      <c r="I105" s="13">
        <f>E105*H105</f>
        <v/>
      </c>
      <c r="J105" s="35" t="inlineStr">
        <is>
          <t>深圳成天泰，南洋，LS,Taya
Shenzhen Chengtiantai (深圳成天泰), Nanyang (南洋), LS, Taya</t>
        </is>
      </c>
    </row>
    <row r="106" ht="74" customHeight="1">
      <c r="A106" s="11" t="n">
        <v>94</v>
      </c>
      <c r="B106" s="12" t="inlineStr">
        <is>
          <t>电力电缆
Cáp điện động lực</t>
        </is>
      </c>
      <c r="C106" s="35" t="inlineStr">
        <is>
          <t>1.名称:电力电缆
1. Tên: Cáp điện động lực
2.规格:YJV-4*4
2. Quy cách: YJV-4*4
3.材质:铜芯
3. Vật liệu: Lõi đồng</t>
        </is>
      </c>
      <c r="D106" s="11" t="inlineStr">
        <is>
          <t>m</t>
        </is>
      </c>
      <c r="E106" s="36" t="n">
        <v>442</v>
      </c>
      <c r="F106" s="15" t="n"/>
      <c r="G106" s="15" t="n"/>
      <c r="H106" s="15">
        <f>F106+G106</f>
        <v/>
      </c>
      <c r="I106" s="13">
        <f>E106*H106</f>
        <v/>
      </c>
      <c r="J106" s="35" t="inlineStr">
        <is>
          <t>深圳成天泰，南洋，LS,Taya
Shenzhen Chengtiantai (深圳成天泰), Nanyang (南洋), LS, Taya</t>
        </is>
      </c>
    </row>
    <row r="107" ht="74" customHeight="1">
      <c r="A107" s="11" t="n">
        <v>95</v>
      </c>
      <c r="B107" s="12" t="inlineStr">
        <is>
          <t>电力电缆
Cáp điện động lực</t>
        </is>
      </c>
      <c r="C107" s="35" t="inlineStr">
        <is>
          <t>1.名称:电力电缆
1. Tên: Cáp điện động lực
2.规格:YJV-4*2.5
2. Quy cách: YJV-4*2.5
3.材质:铜芯
3. Vật liệu: Lõi đồng</t>
        </is>
      </c>
      <c r="D107" s="11" t="inlineStr">
        <is>
          <t>m</t>
        </is>
      </c>
      <c r="E107" s="36" t="n">
        <v>1478</v>
      </c>
      <c r="F107" s="15" t="n"/>
      <c r="G107" s="15" t="n"/>
      <c r="H107" s="15">
        <f>F107+G107</f>
        <v/>
      </c>
      <c r="I107" s="13">
        <f>E107*H107</f>
        <v/>
      </c>
      <c r="J107" s="35" t="inlineStr">
        <is>
          <t>深圳成天泰，南洋，LS,Taya
Shenzhen Chengtiantai (深圳成天泰), Nanyang (南洋), LS, Taya</t>
        </is>
      </c>
    </row>
    <row r="108" ht="74" customHeight="1">
      <c r="A108" s="11" t="n">
        <v>96</v>
      </c>
      <c r="B108" s="12" t="inlineStr">
        <is>
          <t>电力电缆
Cáp điện động lực</t>
        </is>
      </c>
      <c r="C108" s="35" t="inlineStr">
        <is>
          <t>1.名称:电力电缆
1. Tên: Cáp điện động lực
2.规格:YJV-3*2.5
2. Quy cách: YJV-3*2.5
3.材质:铜芯
3. Vật liệu: Lõi đồng</t>
        </is>
      </c>
      <c r="D108" s="11" t="inlineStr">
        <is>
          <t>m</t>
        </is>
      </c>
      <c r="E108" s="36" t="n">
        <v>24</v>
      </c>
      <c r="F108" s="15" t="n"/>
      <c r="G108" s="15" t="n"/>
      <c r="H108" s="15">
        <f>F108+G108</f>
        <v/>
      </c>
      <c r="I108" s="13">
        <f>E108*H108</f>
        <v/>
      </c>
      <c r="J108" s="35" t="inlineStr">
        <is>
          <t>深圳成天泰，南洋，LS,Taya
Shenzhen Chengtiantai (深圳成天泰), Nanyang (南洋), LS, Taya</t>
        </is>
      </c>
    </row>
    <row r="109" ht="97" customHeight="1">
      <c r="A109" s="11" t="n">
        <v>97</v>
      </c>
      <c r="B109" s="12" t="inlineStr">
        <is>
          <t>镀锌线槽
Máng cáp mạ kẽm</t>
        </is>
      </c>
      <c r="C109" s="35" t="inlineStr">
        <is>
          <t>1.名称:镀锌线槽
1. Tên: Máng cáp mạ kẽm
2.规格：200*100*1.0mm
2. Quy cách: 200*100*1.0mm
3.材质：镀锌钢板
3. Vật liệu: Thép tấm mạ kẽm
4.含配件
4. Gồm phụ kiện</t>
        </is>
      </c>
      <c r="D109" s="11" t="inlineStr">
        <is>
          <t>m</t>
        </is>
      </c>
      <c r="E109" s="36" t="n">
        <v>436</v>
      </c>
      <c r="F109" s="15" t="n"/>
      <c r="G109" s="15" t="n"/>
      <c r="H109" s="15">
        <f>F109+G109</f>
        <v/>
      </c>
      <c r="I109" s="13">
        <f>E109*H109</f>
        <v/>
      </c>
      <c r="J109" s="35" t="inlineStr">
        <is>
          <t>国产优质
Hàng sản xuất trong nước chất lượng cao</t>
        </is>
      </c>
    </row>
    <row r="110" ht="97" customHeight="1">
      <c r="A110" s="11" t="n">
        <v>98</v>
      </c>
      <c r="B110" s="12" t="inlineStr">
        <is>
          <t>PVC线管
Ống luồn dây điện PVC</t>
        </is>
      </c>
      <c r="C110" s="35" t="inlineStr">
        <is>
          <t>1.名称:PVC线管
1. Tên: Ống luồn dây điện PVC
2.规格：Φ40
2. Quy cách: Φ40
3.材质：U-PVC硬管
3. Vật liệu: Ống cứng U-PVC
4.含配件
4. Gồm phụ kiện</t>
        </is>
      </c>
      <c r="D110" s="11" t="inlineStr">
        <is>
          <t>m</t>
        </is>
      </c>
      <c r="E110" s="36" t="n">
        <v>120</v>
      </c>
      <c r="F110" s="15" t="n"/>
      <c r="G110" s="15" t="n"/>
      <c r="H110" s="15">
        <f>F110+G110</f>
        <v/>
      </c>
      <c r="I110" s="13">
        <f>E110*H110</f>
        <v/>
      </c>
      <c r="J110" s="35" t="inlineStr">
        <is>
          <t>联塑、日丰
Lesso (联塑), Rifeng (日丰)</t>
        </is>
      </c>
    </row>
    <row r="111" ht="97" customHeight="1">
      <c r="A111" s="11" t="n">
        <v>99</v>
      </c>
      <c r="B111" s="12" t="inlineStr">
        <is>
          <t>PVC线管
Ống luồn dây điện PVC</t>
        </is>
      </c>
      <c r="C111" s="35" t="inlineStr">
        <is>
          <t>1.名称:PVC线管
1. Tên: Ống luồn dây điện PVC
2.规格：Φ25
2. Quy cách: Φ25
3.材质：U-PVC硬管
3. Vật liệu: Ống cứng U-PVC
4.含配件
4. Gồm phụ kiện</t>
        </is>
      </c>
      <c r="D111" s="11" t="inlineStr">
        <is>
          <t>m</t>
        </is>
      </c>
      <c r="E111" s="36" t="n">
        <v>192</v>
      </c>
      <c r="F111" s="15" t="n"/>
      <c r="G111" s="15" t="n"/>
      <c r="H111" s="15">
        <f>F111+G111</f>
        <v/>
      </c>
      <c r="I111" s="13">
        <f>E111*H111</f>
        <v/>
      </c>
      <c r="J111" s="35" t="inlineStr">
        <is>
          <t>联塑、日丰
Lesso (联塑), Rifeng (日丰)</t>
        </is>
      </c>
    </row>
    <row r="112" ht="51" customHeight="1">
      <c r="A112" s="11" t="n">
        <v>100</v>
      </c>
      <c r="B112" s="12" t="inlineStr">
        <is>
          <t>动力柜钢构支架
Giá đỡ kết cấu thép tủ động lực</t>
        </is>
      </c>
      <c r="C112" s="35" t="inlineStr">
        <is>
          <t>1.形式:钢构支架
1. Hình thức: Giá đỡ kết cấu thép
2.材质:镀锌槽钢
2. Vật liệu: Thép chữ U mạ kẽm</t>
        </is>
      </c>
      <c r="D112" s="11" t="inlineStr">
        <is>
          <t>kg</t>
        </is>
      </c>
      <c r="E112" s="40" t="n">
        <v>296.9</v>
      </c>
      <c r="F112" s="15" t="n"/>
      <c r="G112" s="15" t="n"/>
      <c r="H112" s="15">
        <f>F112+G112</f>
        <v/>
      </c>
      <c r="I112" s="13">
        <f>E112*H112</f>
        <v/>
      </c>
      <c r="J112" s="35" t="inlineStr">
        <is>
          <t>国标
Tiêu chuẩn quốc gia (GB)</t>
        </is>
      </c>
    </row>
    <row r="113" ht="51" customHeight="1">
      <c r="A113" s="11" t="n">
        <v>101</v>
      </c>
      <c r="B113" s="12" t="inlineStr">
        <is>
          <t>线槽、线管支吊架
Giá treo đỡ máng cáp, ống luồn dây</t>
        </is>
      </c>
      <c r="C113" s="35" t="inlineStr">
        <is>
          <t>1.形式:吊托支架
1. Hình thức: Giá treo đỡ
2.材质:镀锌角钢、丝杆
2. Vật liệu: Thép góc mạ kẽm, ty ren</t>
        </is>
      </c>
      <c r="D113" s="11" t="inlineStr">
        <is>
          <t>kg</t>
        </is>
      </c>
      <c r="E113" s="40" t="n">
        <v>1219.6</v>
      </c>
      <c r="F113" s="15" t="n"/>
      <c r="G113" s="15" t="n"/>
      <c r="H113" s="15">
        <f>F113+G113</f>
        <v/>
      </c>
      <c r="I113" s="13">
        <f>E113*H113</f>
        <v/>
      </c>
      <c r="J113" s="35" t="inlineStr">
        <is>
          <t>国标
Tiêu chuẩn quốc gia (GB)</t>
        </is>
      </c>
    </row>
    <row r="114" ht="28" customHeight="1">
      <c r="A114" s="11" t="n">
        <v>102</v>
      </c>
      <c r="B114" s="12" t="inlineStr">
        <is>
          <t>安装辅材
Vật tư phụ lắp đặt</t>
        </is>
      </c>
      <c r="C114" s="35" t="inlineStr">
        <is>
          <t>线耳、扎带、电工胶布等
Đầu cos, dây rút, băng keo điện, v.v.</t>
        </is>
      </c>
      <c r="D114" s="11" t="inlineStr">
        <is>
          <t>项
Hạng mục</t>
        </is>
      </c>
      <c r="E114" s="36" t="n">
        <v>1</v>
      </c>
      <c r="F114" s="15" t="n"/>
      <c r="G114" s="15" t="n"/>
      <c r="H114" s="15">
        <f>F114+G114</f>
        <v/>
      </c>
      <c r="I114" s="13">
        <f>E114*H114</f>
        <v/>
      </c>
      <c r="J114" s="35" t="inlineStr">
        <is>
          <t>国标
Tiêu chuẩn quốc gia (GB)</t>
        </is>
      </c>
    </row>
    <row r="115">
      <c r="A115" s="37" t="n"/>
      <c r="B115" s="38" t="inlineStr">
        <is>
          <t>小计 / Cộng</t>
        </is>
      </c>
      <c r="C115" s="37" t="n"/>
      <c r="D115" s="37" t="n"/>
      <c r="E115" s="37" t="n"/>
      <c r="F115" s="37" t="n"/>
      <c r="G115" s="37" t="n"/>
      <c r="H115" s="37" t="n"/>
      <c r="I115" s="39">
        <f>SUM(I98:I114)</f>
        <v/>
      </c>
      <c r="J115" s="37" t="n"/>
    </row>
    <row r="116" ht="28" customHeight="1">
      <c r="A116" s="33" t="inlineStr">
        <is>
          <t>五、
V.</t>
        </is>
      </c>
      <c r="B116" s="34" t="inlineStr">
        <is>
          <t>空调自控系统 / Hệ thống tự động điều khiển điều hòa</t>
        </is>
      </c>
      <c r="C116" s="34" t="n"/>
      <c r="D116" s="34" t="n"/>
      <c r="E116" s="34" t="n"/>
      <c r="F116" s="34" t="n"/>
      <c r="G116" s="34" t="n"/>
      <c r="H116" s="34" t="n"/>
      <c r="I116" s="34" t="n"/>
      <c r="J116" s="34" t="n"/>
    </row>
    <row r="117" ht="131.5" customHeight="1">
      <c r="A117" s="11" t="n">
        <v>103</v>
      </c>
      <c r="B117" s="12" t="inlineStr">
        <is>
          <t>PLC自动控制柜
Tủ điều khiển tự động PLC
PLC-01</t>
        </is>
      </c>
      <c r="C117" s="35" t="inlineStr">
        <is>
          <t>1.名称：PLC自动控制柜
1. Tên: Tủ điều khiển tự động PLC
2.编号：PLC-1F01～02
2. Mã hiệu: PLC-1F01～02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17" s="11" t="inlineStr">
        <is>
          <t>台
Máy</t>
        </is>
      </c>
      <c r="E117" s="36" t="n">
        <v>1</v>
      </c>
      <c r="F117" s="15" t="n"/>
      <c r="G117" s="15" t="n"/>
      <c r="H117" s="15">
        <f>F117+G117</f>
        <v/>
      </c>
      <c r="I117" s="13">
        <f>E117*H117</f>
        <v/>
      </c>
      <c r="J117" s="35" t="inlineStr">
        <is>
          <t>PLC控制器：西门子
Bộ điều khiển PLC: Siemens (西门子)
触摸屏：昆仑通泰、海为
Màn hình cảm ứng: MCGS Kunlun Tongtai (昆仑通泰), Haiwell (海为)
电气元器件：ABB、施耐德
Linh kiện điện: ABB, Schneider (施耐德)</t>
        </is>
      </c>
    </row>
    <row r="118" ht="131.5" customHeight="1">
      <c r="A118" s="11" t="n">
        <v>104</v>
      </c>
      <c r="B118" s="12" t="inlineStr">
        <is>
          <t>PLC自动控制柜
Tủ điều khiển tự động PLC
PLC-02</t>
        </is>
      </c>
      <c r="C118" s="35" t="inlineStr">
        <is>
          <t>1.名称：PLC自动控制柜
1. Tên: Tủ điều khiển tự động PLC
2.编号：PLC-1F03～04
2. Mã hiệu: PLC-1F03～04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18" s="11" t="inlineStr">
        <is>
          <t>台
Máy</t>
        </is>
      </c>
      <c r="E118" s="36" t="n">
        <v>1</v>
      </c>
      <c r="F118" s="15" t="n"/>
      <c r="G118" s="15" t="n"/>
      <c r="H118" s="15">
        <f>F118+G118</f>
        <v/>
      </c>
      <c r="I118" s="13">
        <f>E118*H118</f>
        <v/>
      </c>
      <c r="J118" s="35" t="inlineStr">
        <is>
          <t>PLC控制器：西门子
Bộ điều khiển PLC: Siemens (西门子)
触摸屏：昆仑通泰、海为
Màn hình cảm ứng: MCGS Kunlun Tongtai (昆仑通泰), Haiwell (海为)
电气元器件：ABB、施耐德
Linh kiện điện: ABB, Schneider (施耐德)</t>
        </is>
      </c>
    </row>
    <row r="119" ht="131.5" customHeight="1">
      <c r="A119" s="11" t="n">
        <v>105</v>
      </c>
      <c r="B119" s="12" t="inlineStr">
        <is>
          <t>PLC自动控制柜
Tủ điều khiển tự động PLC
PLC-03</t>
        </is>
      </c>
      <c r="C119" s="35" t="inlineStr">
        <is>
          <t>1.名称：PLC自动控制柜
1. Tên: Tủ điều khiển tự động PLC
2.编号：PLC-1F05
2. Mã hiệu: PLC-1F05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19" s="11" t="inlineStr">
        <is>
          <t>台
Máy</t>
        </is>
      </c>
      <c r="E119" s="36" t="n">
        <v>1</v>
      </c>
      <c r="F119" s="15" t="n"/>
      <c r="G119" s="15" t="n"/>
      <c r="H119" s="15">
        <f>F119+G119</f>
        <v/>
      </c>
      <c r="I119" s="13">
        <f>E119*H119</f>
        <v/>
      </c>
      <c r="J119" s="35" t="inlineStr">
        <is>
          <t>PLC控制器：西门子
Bộ điều khiển PLC: Siemens (西门子)
触摸屏：昆仑通泰、海为
Màn hình cảm ứng: MCGS Kunlun Tongtai (昆仑通泰), Haiwell (海为)
电气元器件：ABB、施耐德
Linh kiện điện: ABB, Schneider (施耐德)</t>
        </is>
      </c>
    </row>
    <row r="120" ht="131.5" customHeight="1">
      <c r="A120" s="11" t="n">
        <v>106</v>
      </c>
      <c r="B120" s="12" t="inlineStr">
        <is>
          <t>PLC自动控制柜
Tủ điều khiển tự động PLC
PLC-04</t>
        </is>
      </c>
      <c r="C120" s="35" t="inlineStr">
        <is>
          <t>1.名称：PLC自动控制柜
1. Tên: Tủ điều khiển tự động PLC
2.编号：PLC-1F06
2. Mã hiệu: PLC-1F06
3.成品柜，内含PLC控制器、10英寸触摸屏、I/O扩展模块、中间继电器、接线端子、电源等
3. Tủ thành phẩm, bên trong gồm bộ điều khiển PLC, màn hình cảm ứng 10 inch, module mở rộng I/O, rơ-le trung gian, cầu đấu dây, nguồn điện, v.v.
4.安装方式：落地式
4. Phương thức lắp đặt: Đặt sàn
5.仿威图机柜：1800*800*600
5. Tủ kiểu Rittal (威图): 1800*800*600</t>
        </is>
      </c>
      <c r="D120" s="11" t="inlineStr">
        <is>
          <t>台
Máy</t>
        </is>
      </c>
      <c r="E120" s="36" t="n">
        <v>1</v>
      </c>
      <c r="F120" s="15" t="n"/>
      <c r="G120" s="15" t="n"/>
      <c r="H120" s="15">
        <f>F120+G120</f>
        <v/>
      </c>
      <c r="I120" s="13">
        <f>E120*H120</f>
        <v/>
      </c>
      <c r="J120" s="35" t="inlineStr">
        <is>
          <t>PLC控制器：西门子
Bộ điều khiển PLC: Siemens (西门子)
触摸屏：昆仑通泰、海为
Màn hình cảm ứng: MCGS Kunlun Tongtai (昆仑通泰), Haiwell (海为)
电气元器件：ABB、施耐德
Linh kiện điện: ABB, Schneider (施耐德)</t>
        </is>
      </c>
    </row>
    <row r="121" ht="39.5" customHeight="1">
      <c r="A121" s="11" t="n">
        <v>107</v>
      </c>
      <c r="B121" s="12" t="inlineStr">
        <is>
          <t>现场系统调试，技术指导
Chạy thử hệ thống tại hiện trường, hướng dẫn kỹ thuật</t>
        </is>
      </c>
      <c r="C121" s="35" t="inlineStr">
        <is>
          <t>现场调试，校验，数值验证，技术安装指导等
Chạy thử tại hiện trường, hiệu chuẩn, xác minh số liệu, hướng dẫn kỹ thuật lắp đặt, v.v.</t>
        </is>
      </c>
      <c r="D121" s="11" t="inlineStr">
        <is>
          <t>项
Hạng mục</t>
        </is>
      </c>
      <c r="E121" s="36" t="n">
        <v>1</v>
      </c>
      <c r="F121" s="15" t="n"/>
      <c r="G121" s="15" t="n"/>
      <c r="H121" s="15">
        <f>F121+G121</f>
        <v/>
      </c>
      <c r="I121" s="13">
        <f>E121*H121</f>
        <v/>
      </c>
      <c r="J121" s="35" t="n"/>
    </row>
    <row r="122" ht="120" customHeight="1">
      <c r="A122" s="11" t="n">
        <v>108</v>
      </c>
      <c r="B122" s="12" t="inlineStr">
        <is>
          <t>风管式温湿度传感器
Cảm biến nhiệt độ - độ ẩm kiểu lắp ống gió</t>
        </is>
      </c>
      <c r="C122" s="35" t="inlineStr">
        <is>
          <t>1.供电电源：24VDC
1. Nguồn cấp điện: 24VDC
2.精度：温度0.3℃@40℃，湿度±2%
2. Độ chính xác: nhiệt độ 0.3℃@40℃, độ ẩm ±2%
3.信号输出：4-20mA
3. Tín hiệu đầu ra: 4-20mA
4.安装方式：插入式
4. Phương thức lắp đặt: Kiểu cắm (nhúng)
5.附件：配底座
5. Phụ kiện: Kèm đế</t>
        </is>
      </c>
      <c r="D122" s="11" t="inlineStr">
        <is>
          <t>个
Cái</t>
        </is>
      </c>
      <c r="E122" s="36" t="n">
        <v>17</v>
      </c>
      <c r="F122" s="15" t="n"/>
      <c r="G122" s="15" t="n"/>
      <c r="H122" s="15">
        <f>F122+G122</f>
        <v/>
      </c>
      <c r="I122" s="13">
        <f>E122*H122</f>
        <v/>
      </c>
      <c r="J122" s="35" t="n"/>
    </row>
    <row r="123" ht="120" customHeight="1">
      <c r="A123" s="11" t="n">
        <v>109</v>
      </c>
      <c r="B123" s="12" t="inlineStr">
        <is>
          <t>风管式温湿度传感器
Cảm biến nhiệt độ - độ ẩm kiểu lắp ống gió</t>
        </is>
      </c>
      <c r="C123" s="35" t="inlineStr">
        <is>
          <t>1.供电电源：24VDC
1. Nguồn cấp điện: 24VDC
2.精度：温度0.3℃@25℃，湿度±2%
2. Độ chính xác: nhiệt độ 0.3℃@25℃, độ ẩm ±2%
3.信号输出：4-20mA
3. Tín hiệu đầu ra: 4-20mA
4.安装方式：插入式
4. Phương thức lắp đặt: Kiểu cắm (nhúng)
5.附件：配底座
5. Phụ kiện: Kèm đế</t>
        </is>
      </c>
      <c r="D123" s="11" t="inlineStr">
        <is>
          <t>个
Cái</t>
        </is>
      </c>
      <c r="E123" s="36" t="n">
        <v>67</v>
      </c>
      <c r="F123" s="15" t="n"/>
      <c r="G123" s="15" t="n"/>
      <c r="H123" s="15">
        <f>F123+G123</f>
        <v/>
      </c>
      <c r="I123" s="13">
        <f>E123*H123</f>
        <v/>
      </c>
      <c r="J123" s="35" t="n"/>
    </row>
    <row r="124" ht="143" customHeight="1">
      <c r="A124" s="11" t="n">
        <v>110</v>
      </c>
      <c r="B124" s="12" t="inlineStr">
        <is>
          <t>风管式压力传感器
Cảm biến áp suất kiểu lắp ống gió</t>
        </is>
      </c>
      <c r="C124" s="35" t="inlineStr">
        <is>
          <t>1.供电电源：24VDC
1. Nguồn cấp điện: 24VDC
2.量程：0～1000Pa
2. Dải đo: 0～1000Pa
3.精度：±1%
3. Độ chính xác: ±1%
4.信号输出：4-20mA
4. Tín hiệu đầu ra: 4-20mA
5.安装方式：插入式
5. Phương thức lắp đặt: Kiểu cắm (nhúng)
6.附件：配底座
6. Phụ kiện: Kèm đế</t>
        </is>
      </c>
      <c r="D124" s="11" t="inlineStr">
        <is>
          <t>个
Cái</t>
        </is>
      </c>
      <c r="E124" s="36" t="n">
        <v>20</v>
      </c>
      <c r="F124" s="15" t="n"/>
      <c r="G124" s="15" t="n"/>
      <c r="H124" s="15">
        <f>F124+G124</f>
        <v/>
      </c>
      <c r="I124" s="13">
        <f>E124*H124</f>
        <v/>
      </c>
      <c r="J124" s="35" t="n"/>
    </row>
    <row r="125" ht="143" customHeight="1">
      <c r="A125" s="11" t="n">
        <v>111</v>
      </c>
      <c r="B125" s="12" t="inlineStr">
        <is>
          <t>压差开关报警传感器
Cảm biến báo động công tắc chênh áp</t>
        </is>
      </c>
      <c r="C125" s="35" t="inlineStr">
        <is>
          <t>1.供电电源：24VDC
1. Nguồn cấp điện: 24VDC
2.量程：0～200Pa
2. Dải đo: 0～200Pa
3.精度：±1%
3. Độ chính xác: ±1%
4.信号输出：4-20mA
4. Tín hiệu đầu ra: 4-20mA
5.安装方式：插入式
5. Phương thức lắp đặt: Kiểu cắm (nhúng)
6.附件：配底座
6. Phụ kiện: Kèm đế</t>
        </is>
      </c>
      <c r="D125" s="11" t="inlineStr">
        <is>
          <t>个
Cái</t>
        </is>
      </c>
      <c r="E125" s="36" t="n">
        <v>45</v>
      </c>
      <c r="F125" s="15" t="n"/>
      <c r="G125" s="15" t="n"/>
      <c r="H125" s="15">
        <f>F125+G125</f>
        <v/>
      </c>
      <c r="I125" s="13">
        <f>E125*H125</f>
        <v/>
      </c>
      <c r="J125" s="35" t="n"/>
    </row>
    <row r="126" ht="51" customHeight="1">
      <c r="A126" s="11" t="n">
        <v>112</v>
      </c>
      <c r="B126" s="12" t="inlineStr">
        <is>
          <t>空气处理机组液晶温控面板
Bảng điều khiển nhiệt độ màn hình LCD cho cụm xử lý không khí</t>
        </is>
      </c>
      <c r="C126" s="35" t="inlineStr">
        <is>
          <t>1.名称：液晶温控面板
1. Tên: Bảng điều khiển nhiệt độ màn hình LCD
2.规格：模拟调节型
2. Quy cách: Loại điều chỉnh tuyến tính (analog)</t>
        </is>
      </c>
      <c r="D126" s="11" t="inlineStr">
        <is>
          <t>个
Cái</t>
        </is>
      </c>
      <c r="E126" s="36" t="n">
        <v>25</v>
      </c>
      <c r="F126" s="15" t="n"/>
      <c r="G126" s="15" t="n"/>
      <c r="H126" s="15">
        <f>F126+G126</f>
        <v/>
      </c>
      <c r="I126" s="13">
        <f>E126*H126</f>
        <v/>
      </c>
      <c r="J126" s="35" t="inlineStr">
        <is>
          <t>江森、霍尼韦尔
Johnson Controls (江森), Honeywell (霍尼韦尔)</t>
        </is>
      </c>
    </row>
    <row r="127" ht="74" customHeight="1">
      <c r="A127" s="11" t="n">
        <v>113</v>
      </c>
      <c r="B127" s="12" t="inlineStr">
        <is>
          <t>控制线缆
Cáp điều khiển</t>
        </is>
      </c>
      <c r="C127" s="35" t="inlineStr">
        <is>
          <t>1.名称:控制线缆
1. Tên: Cáp điều khiển
2.规格:RVV-6*1.0
2. Quy cách: RVV-6*1.0
3.材质:铜芯
3. Vật liệu: Lõi đồng</t>
        </is>
      </c>
      <c r="D127" s="11" t="inlineStr">
        <is>
          <t>m</t>
        </is>
      </c>
      <c r="E127" s="36" t="n">
        <v>120</v>
      </c>
      <c r="F127" s="15" t="n"/>
      <c r="G127" s="15" t="n"/>
      <c r="H127" s="15">
        <f>F127+G127</f>
        <v/>
      </c>
      <c r="I127" s="13">
        <f>E127*H127</f>
        <v/>
      </c>
      <c r="J127" s="35" t="inlineStr">
        <is>
          <t>深圳成天泰，南洋，LS,Taya
Shenzhen Chengtiantai (深圳成天泰), Nanyang (南洋), LS, Taya</t>
        </is>
      </c>
    </row>
    <row r="128" ht="74" customHeight="1">
      <c r="A128" s="11" t="n">
        <v>114</v>
      </c>
      <c r="B128" s="12" t="inlineStr">
        <is>
          <t>控制线缆
Cáp điều khiển</t>
        </is>
      </c>
      <c r="C128" s="35" t="inlineStr">
        <is>
          <t>1.名称:控制线缆
1. Tên: Cáp điều khiển
2.规格:RVV-4*1.0
2. Quy cách: RVV-4*1.0
3.材质:铜芯
3. Vật liệu: Lõi đồng</t>
        </is>
      </c>
      <c r="D128" s="11" t="inlineStr">
        <is>
          <t>m</t>
        </is>
      </c>
      <c r="E128" s="36" t="n">
        <v>2991</v>
      </c>
      <c r="F128" s="15" t="n"/>
      <c r="G128" s="15" t="n"/>
      <c r="H128" s="15">
        <f>F128+G128</f>
        <v/>
      </c>
      <c r="I128" s="13">
        <f>E128*H128</f>
        <v/>
      </c>
      <c r="J128" s="35" t="inlineStr">
        <is>
          <t>深圳成天泰，南洋，LS,Taya
Shenzhen Chengtiantai (深圳成天泰), Nanyang (南洋), LS, Taya</t>
        </is>
      </c>
    </row>
    <row r="129" ht="74" customHeight="1">
      <c r="A129" s="11" t="n">
        <v>115</v>
      </c>
      <c r="B129" s="12" t="inlineStr">
        <is>
          <t>控制线缆
Cáp điều khiển</t>
        </is>
      </c>
      <c r="C129" s="35" t="inlineStr">
        <is>
          <t>1.名称:控制线缆
1. Tên: Cáp điều khiển
2.规格:RVV-2*1.0
2. Quy cách: RVV-2*1.0
3.材质:铜芯
3. Vật liệu: Lõi đồng</t>
        </is>
      </c>
      <c r="D129" s="11" t="inlineStr">
        <is>
          <t>m</t>
        </is>
      </c>
      <c r="E129" s="36" t="n">
        <v>1582</v>
      </c>
      <c r="F129" s="15" t="n"/>
      <c r="G129" s="15" t="n"/>
      <c r="H129" s="15">
        <f>F129+G129</f>
        <v/>
      </c>
      <c r="I129" s="13">
        <f>E129*H129</f>
        <v/>
      </c>
      <c r="J129" s="35" t="inlineStr">
        <is>
          <t>深圳成天泰，南洋，LS,Taya
Shenzhen Chengtiantai (深圳成天泰), Nanyang (南洋), LS, Taya</t>
        </is>
      </c>
    </row>
    <row r="130" ht="74" customHeight="1">
      <c r="A130" s="11" t="n">
        <v>116</v>
      </c>
      <c r="B130" s="12" t="inlineStr">
        <is>
          <t>控制线缆
Cáp điều khiển</t>
        </is>
      </c>
      <c r="C130" s="35" t="inlineStr">
        <is>
          <t>1.名称:控制线缆
1. Tên: Cáp điều khiển
2.规格:RVVP-6*1.0
2. Quy cách: RVVP-6*1.0
3.材质:铜芯
3. Vật liệu: Lõi đồng</t>
        </is>
      </c>
      <c r="D130" s="11" t="inlineStr">
        <is>
          <t>m</t>
        </is>
      </c>
      <c r="E130" s="36" t="n">
        <v>2322</v>
      </c>
      <c r="F130" s="15" t="n"/>
      <c r="G130" s="15" t="n"/>
      <c r="H130" s="15">
        <f>F130+G130</f>
        <v/>
      </c>
      <c r="I130" s="13">
        <f>E130*H130</f>
        <v/>
      </c>
      <c r="J130" s="35" t="inlineStr">
        <is>
          <t>深圳成天泰，南洋，LS,Taya
Shenzhen Chengtiantai (深圳成天泰), Nanyang (南洋), LS, Taya</t>
        </is>
      </c>
    </row>
    <row r="131" ht="74" customHeight="1">
      <c r="A131" s="11" t="n">
        <v>117</v>
      </c>
      <c r="B131" s="12" t="inlineStr">
        <is>
          <t>控制线缆
Cáp điều khiển</t>
        </is>
      </c>
      <c r="C131" s="35" t="inlineStr">
        <is>
          <t>1.名称:控制线缆
1. Tên: Cáp điều khiển
2.规格:RVVP-4*1.0
2. Quy cách: RVVP-4*1.0
3.材质:铜芯
3. Vật liệu: Lõi đồng</t>
        </is>
      </c>
      <c r="D131" s="11" t="inlineStr">
        <is>
          <t>m</t>
        </is>
      </c>
      <c r="E131" s="36" t="n">
        <v>2240</v>
      </c>
      <c r="F131" s="15" t="n"/>
      <c r="G131" s="15" t="n"/>
      <c r="H131" s="15">
        <f>F131+G131</f>
        <v/>
      </c>
      <c r="I131" s="13">
        <f>E131*H131</f>
        <v/>
      </c>
      <c r="J131" s="35" t="inlineStr">
        <is>
          <t>深圳成天泰，南洋，LS,Taya
Shenzhen Chengtiantai (深圳成天泰), Nanyang (南洋), LS, Taya</t>
        </is>
      </c>
    </row>
    <row r="132" ht="74" customHeight="1">
      <c r="A132" s="11" t="n">
        <v>118</v>
      </c>
      <c r="B132" s="12" t="inlineStr">
        <is>
          <t>控制线缆
Cáp điều khiển</t>
        </is>
      </c>
      <c r="C132" s="35" t="inlineStr">
        <is>
          <t>1.名称:控制线缆
1. Tên: Cáp điều khiển
2.规格:RVVP-2*1.0
2. Quy cách: RVVP-2*1.0
3.材质:铜芯
3. Vật liệu: Lõi đồng</t>
        </is>
      </c>
      <c r="D132" s="11" t="inlineStr">
        <is>
          <t>m</t>
        </is>
      </c>
      <c r="E132" s="36" t="n">
        <v>1477</v>
      </c>
      <c r="F132" s="15" t="n"/>
      <c r="G132" s="15" t="n"/>
      <c r="H132" s="15">
        <f>F132+G132</f>
        <v/>
      </c>
      <c r="I132" s="13">
        <f>E132*H132</f>
        <v/>
      </c>
      <c r="J132" s="35" t="inlineStr">
        <is>
          <t>深圳成天泰，南洋，LS,Taya
Shenzhen Chengtiantai (深圳成天泰), Nanyang (南洋), LS, Taya</t>
        </is>
      </c>
    </row>
    <row r="133" ht="97" customHeight="1">
      <c r="A133" s="11" t="n">
        <v>119</v>
      </c>
      <c r="B133" s="12" t="inlineStr">
        <is>
          <t>镀锌线槽
Máng cáp mạ kẽm</t>
        </is>
      </c>
      <c r="C133" s="35" t="inlineStr">
        <is>
          <t>1.名称:镀锌线槽
1. Tên: Máng cáp mạ kẽm
2.规格：200*100*1.0mm
2. Quy cách: 200*100*1.0mm
3.材质：镀锌钢板
3. Vật liệu: Thép tấm mạ kẽm
4.含配件
4. Gồm phụ kiện</t>
        </is>
      </c>
      <c r="D133" s="11" t="inlineStr">
        <is>
          <t>m</t>
        </is>
      </c>
      <c r="E133" s="36" t="n">
        <v>224</v>
      </c>
      <c r="F133" s="15" t="n"/>
      <c r="G133" s="15" t="n"/>
      <c r="H133" s="15">
        <f>F133+G133</f>
        <v/>
      </c>
      <c r="I133" s="13">
        <f>E133*H133</f>
        <v/>
      </c>
      <c r="J133" s="35" t="inlineStr">
        <is>
          <t>国产优质
Hàng sản xuất trong nước chất lượng cao</t>
        </is>
      </c>
    </row>
    <row r="134" ht="97" customHeight="1">
      <c r="A134" s="11" t="n">
        <v>120</v>
      </c>
      <c r="B134" s="12" t="inlineStr">
        <is>
          <t>PVC线管
Ống luồn dây điện PVC</t>
        </is>
      </c>
      <c r="C134" s="35" t="inlineStr">
        <is>
          <t>1.名称:PVC线管
1. Tên: Ống luồn dây điện PVC
2.规格：Φ25
2. Quy cách: Φ25
3.材质：U-PVC硬管
3. Vật liệu: Ống cứng U-PVC
4.含配件
4. Gồm phụ kiện</t>
        </is>
      </c>
      <c r="D134" s="11" t="inlineStr">
        <is>
          <t>m</t>
        </is>
      </c>
      <c r="E134" s="36" t="n">
        <v>864</v>
      </c>
      <c r="F134" s="15" t="n"/>
      <c r="G134" s="15" t="n"/>
      <c r="H134" s="15">
        <f>F134+G134</f>
        <v/>
      </c>
      <c r="I134" s="13">
        <f>E134*H134</f>
        <v/>
      </c>
      <c r="J134" s="35" t="inlineStr">
        <is>
          <t>联塑、雄塑
Lesso (联塑), Xiongsu (雄塑)</t>
        </is>
      </c>
    </row>
    <row r="135" ht="51" customHeight="1">
      <c r="A135" s="11" t="n">
        <v>121</v>
      </c>
      <c r="B135" s="12" t="inlineStr">
        <is>
          <t>控制柜钢构支架
Giá đỡ kết cấu thép tủ điều khiển</t>
        </is>
      </c>
      <c r="C135" s="35" t="inlineStr">
        <is>
          <t>1.形式:钢构支架
1. Hình thức: Giá đỡ kết cấu thép
2.材质:镀锌槽钢
2. Vật liệu: Thép chữ U mạ kẽm</t>
        </is>
      </c>
      <c r="D135" s="11" t="inlineStr">
        <is>
          <t>kg</t>
        </is>
      </c>
      <c r="E135" s="40" t="n">
        <v>206.9</v>
      </c>
      <c r="F135" s="15" t="n"/>
      <c r="G135" s="15" t="n"/>
      <c r="H135" s="15">
        <f>F135+G135</f>
        <v/>
      </c>
      <c r="I135" s="13">
        <f>E135*H135</f>
        <v/>
      </c>
      <c r="J135" s="35" t="inlineStr">
        <is>
          <t>国标
Tiêu chuẩn quốc gia (GB)</t>
        </is>
      </c>
    </row>
    <row r="136" ht="51" customHeight="1">
      <c r="A136" s="11" t="n">
        <v>122</v>
      </c>
      <c r="B136" s="12" t="inlineStr">
        <is>
          <t>线槽支吊架
Giá treo đỡ máng cáp</t>
        </is>
      </c>
      <c r="C136" s="35" t="inlineStr">
        <is>
          <t>1.形式:吊托支架
1. Hình thức: Giá treo đỡ
2.材质:镀锌角钢、丝杆
2. Vật liệu: Thép góc mạ kẽm, ty ren</t>
        </is>
      </c>
      <c r="D136" s="11" t="inlineStr">
        <is>
          <t>kg</t>
        </is>
      </c>
      <c r="E136" s="40" t="n">
        <v>963.8</v>
      </c>
      <c r="F136" s="15" t="n"/>
      <c r="G136" s="15" t="n"/>
      <c r="H136" s="15">
        <f>F136+G136</f>
        <v/>
      </c>
      <c r="I136" s="13">
        <f>E136*H136</f>
        <v/>
      </c>
      <c r="J136" s="35" t="inlineStr">
        <is>
          <t>国标
Tiêu chuẩn quốc gia (GB)</t>
        </is>
      </c>
    </row>
    <row r="137" ht="28" customHeight="1">
      <c r="A137" s="11" t="n">
        <v>123</v>
      </c>
      <c r="B137" s="12" t="inlineStr">
        <is>
          <t>安装辅材
Vật tư phụ lắp đặt</t>
        </is>
      </c>
      <c r="C137" s="35" t="inlineStr">
        <is>
          <t>线耳、扎带、电工胶布等
Đầu cos, dây rút, băng keo điện, v.v.</t>
        </is>
      </c>
      <c r="D137" s="11" t="inlineStr">
        <is>
          <t>项
Hạng mục</t>
        </is>
      </c>
      <c r="E137" s="36" t="n">
        <v>1</v>
      </c>
      <c r="F137" s="15" t="n"/>
      <c r="G137" s="15" t="n"/>
      <c r="H137" s="15">
        <f>F137+G137</f>
        <v/>
      </c>
      <c r="I137" s="13">
        <f>E137*H137</f>
        <v/>
      </c>
      <c r="J137" s="35" t="inlineStr">
        <is>
          <t>国标
Tiêu chuẩn quốc gia (GB)</t>
        </is>
      </c>
    </row>
    <row r="138">
      <c r="A138" s="37" t="n"/>
      <c r="B138" s="38" t="inlineStr">
        <is>
          <t>小计 / Cộng</t>
        </is>
      </c>
      <c r="C138" s="37" t="n"/>
      <c r="D138" s="37" t="n"/>
      <c r="E138" s="37" t="n"/>
      <c r="F138" s="37" t="n"/>
      <c r="G138" s="37" t="n"/>
      <c r="H138" s="37" t="n"/>
      <c r="I138" s="39">
        <f>SUM(I117:I137)</f>
        <v/>
      </c>
      <c r="J138" s="37" t="n"/>
    </row>
    <row r="139" ht="28" customHeight="1">
      <c r="A139" s="33" t="inlineStr">
        <is>
          <t>六、
VI.</t>
        </is>
      </c>
      <c r="B139" s="34" t="inlineStr">
        <is>
          <t>其他部分 / Phần khác</t>
        </is>
      </c>
      <c r="C139" s="34" t="n"/>
      <c r="D139" s="34" t="n"/>
      <c r="E139" s="34" t="n"/>
      <c r="F139" s="34" t="n"/>
      <c r="G139" s="34" t="n"/>
      <c r="H139" s="34" t="n"/>
      <c r="I139" s="34" t="n"/>
      <c r="J139" s="34" t="n"/>
    </row>
    <row r="140" ht="28" customHeight="1">
      <c r="A140" s="11" t="n">
        <v>124</v>
      </c>
      <c r="B140" s="12" t="inlineStr">
        <is>
          <t>搬运及吊车费
Chi phí vận chuyển và xe cẩu</t>
        </is>
      </c>
      <c r="C140" s="35" t="n"/>
      <c r="D140" s="11" t="inlineStr">
        <is>
          <t>项
Hạng mục</t>
        </is>
      </c>
      <c r="E140" s="36" t="n">
        <v>1</v>
      </c>
      <c r="F140" s="15" t="n"/>
      <c r="G140" s="15" t="n"/>
      <c r="H140" s="15">
        <f>F140+G140</f>
        <v/>
      </c>
      <c r="I140" s="13">
        <f>E140*H140</f>
        <v/>
      </c>
      <c r="J140" s="35" t="n"/>
    </row>
    <row r="141" ht="39.5" customHeight="1">
      <c r="A141" s="11" t="n">
        <v>125</v>
      </c>
      <c r="B141" s="12" t="inlineStr">
        <is>
          <t>脚手架搭拆费
Chi phí lắp dựng và tháo dỡ giàn giáo</t>
        </is>
      </c>
      <c r="C141" s="35" t="n"/>
      <c r="D141" s="11" t="inlineStr">
        <is>
          <t>项
Hạng mục</t>
        </is>
      </c>
      <c r="E141" s="36" t="n">
        <v>1</v>
      </c>
      <c r="F141" s="15" t="n"/>
      <c r="G141" s="15" t="n"/>
      <c r="H141" s="15">
        <f>F141+G141</f>
        <v/>
      </c>
      <c r="I141" s="13">
        <f>E141*H141</f>
        <v/>
      </c>
      <c r="J141" s="35" t="n"/>
    </row>
    <row r="142">
      <c r="A142" s="37" t="n"/>
      <c r="B142" s="38" t="inlineStr">
        <is>
          <t>小计 / Cộng</t>
        </is>
      </c>
      <c r="C142" s="37" t="n"/>
      <c r="D142" s="37" t="n"/>
      <c r="E142" s="37" t="n"/>
      <c r="F142" s="37" t="n"/>
      <c r="G142" s="37" t="n"/>
      <c r="H142" s="37" t="n"/>
      <c r="I142" s="39">
        <f>SUM(I140:I141)</f>
        <v/>
      </c>
      <c r="J142" s="37" t="n"/>
    </row>
    <row r="143" ht="32" customHeight="1">
      <c r="A143" s="41" t="inlineStr">
        <is>
          <t>合计（一+二+三+四+五+六）：
Tổng cộng (I+II+III+IV+V+VI):</t>
        </is>
      </c>
      <c r="B143" s="42" t="n"/>
      <c r="C143" s="42" t="n"/>
      <c r="D143" s="42" t="n"/>
      <c r="E143" s="42" t="n"/>
      <c r="F143" s="42" t="n"/>
      <c r="G143" s="42" t="n"/>
      <c r="H143" s="42" t="n"/>
      <c r="I143" s="43">
        <f>I16+I60+I96+I115+I138+I142</f>
        <v/>
      </c>
      <c r="J143" s="42" t="n"/>
    </row>
  </sheetData>
  <mergeCells count="26">
    <mergeCell ref="F4:G4"/>
    <mergeCell ref="A143:H143"/>
    <mergeCell ref="C4:C5"/>
    <mergeCell ref="B61:J61"/>
    <mergeCell ref="E4:E5"/>
    <mergeCell ref="B17:J17"/>
    <mergeCell ref="B142:H142"/>
    <mergeCell ref="B116:J116"/>
    <mergeCell ref="D4:D5"/>
    <mergeCell ref="J4:J5"/>
    <mergeCell ref="B16:H16"/>
    <mergeCell ref="B138:H138"/>
    <mergeCell ref="B6:J6"/>
    <mergeCell ref="B139:J139"/>
    <mergeCell ref="B115:H115"/>
    <mergeCell ref="A1:G1"/>
    <mergeCell ref="B96:H96"/>
    <mergeCell ref="A4:A5"/>
    <mergeCell ref="I4:I5"/>
    <mergeCell ref="B97:J97"/>
    <mergeCell ref="B60:H60"/>
    <mergeCell ref="H1:J1"/>
    <mergeCell ref="B4:B5"/>
    <mergeCell ref="A3:J3"/>
    <mergeCell ref="H4:H5"/>
    <mergeCell ref="A2:J2"/>
  </mergeCells>
  <conditionalFormatting sqref="F6:G143">
    <cfRule type="expression" priority="1" dxfId="0">
      <formula>AND($E6&lt;&gt;"",ISNUMBER($A6),F6="")</formula>
    </cfRule>
  </conditionalFormatting>
  <printOptions horizontalCentered="1"/>
  <pageMargins left="0.4" right="0.4" top="0.5" bottom="0.6" header="0.5" footer="0.5"/>
  <pageSetup orientation="landscape" paperSize="9" fitToHeight="0" fitToWidth="1"/>
  <headerFooter>
    <oddHeader/>
    <oddFooter>&amp;L&amp;8 BLT – Báo giá 报价单 MEGA&amp;R&amp;8 Trang 页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37"/>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56" customWidth="1" min="3" max="3"/>
    <col width="52" customWidth="1" min="4" max="4"/>
  </cols>
  <sheetData>
    <row r="1" ht="22" customHeight="1">
      <c r="A1" s="27" t="inlineStr">
        <is>
          <t>[CÔNG TY TNHH / CỔ PHẦN …] BLT</t>
        </is>
      </c>
      <c r="B1" s="28" t="n"/>
      <c r="C1" s="29" t="inlineStr">
        <is>
          <t>BÁO GIÁ 报价单</t>
        </is>
      </c>
      <c r="D1" s="28" t="n"/>
    </row>
    <row r="2" ht="36" customHeight="1">
      <c r="A2" s="30" t="inlineStr">
        <is>
          <t>主要设备材料品牌表
Bảng thương hiệu thiết bị, vật tư chính</t>
        </is>
      </c>
    </row>
    <row r="3" ht="30" customHeight="1">
      <c r="A3" s="32" t="inlineStr">
        <is>
          <t>序号
STT</t>
        </is>
      </c>
      <c r="B3" s="32" t="inlineStr">
        <is>
          <t>名称
Tên</t>
        </is>
      </c>
      <c r="C3" s="32" t="inlineStr">
        <is>
          <t>说明
Thuyết minh</t>
        </is>
      </c>
      <c r="D3" s="32" t="inlineStr">
        <is>
          <t>品牌
Thương hiệu</t>
        </is>
      </c>
    </row>
    <row r="4" ht="65" customHeight="1">
      <c r="A4" s="44" t="inlineStr">
        <is>
          <t>1</t>
        </is>
      </c>
      <c r="B4" s="35" t="inlineStr">
        <is>
          <t>冷水机组
Cụm máy làm lạnh nước (chiller)</t>
        </is>
      </c>
      <c r="C4" s="35" t="inlineStr">
        <is>
          <t>提供厂家出具选型报告
Cung cấp báo cáo chọn thiết bị do nhà sản xuất phát hành
提供厂验条件：冷水机组进行出厂测试使用的所有相关性能参数
Cung cấp điều kiện nghiệm thu tại nhà máy: toàn bộ các thông số tính năng liên quan dùng cho thử nghiệm xuất xưởng của cụm chiller</t>
        </is>
      </c>
      <c r="D4" s="35" t="inlineStr">
        <is>
          <t>麦克维尔【指定品牌，不可修改】
McQuay (麦克维尔) [Thương hiệu chỉ định, không được thay đổi]</t>
        </is>
      </c>
    </row>
    <row r="5" ht="77" customHeight="1">
      <c r="A5" s="44" t="inlineStr">
        <is>
          <t>2</t>
        </is>
      </c>
      <c r="B5" s="35" t="inlineStr">
        <is>
          <t>冷却水塔
Tháp giải nhiệt</t>
        </is>
      </c>
      <c r="C5" s="35" t="inlineStr">
        <is>
          <t>材质：玻璃钢
Vật liệu: Nhựa composite cốt sợi thủy tinh (FRP)
采用变频电机
Sử dụng động cơ biến tần
CTI认证
Chứng nhận CTI</t>
        </is>
      </c>
      <c r="D5" s="35" t="inlineStr">
        <is>
          <t>良机、洲菱
Liangchi (良机), Zhouling (洲菱)</t>
        </is>
      </c>
    </row>
    <row r="6" ht="53" customHeight="1">
      <c r="A6" s="44" t="inlineStr">
        <is>
          <t>3</t>
        </is>
      </c>
      <c r="B6" s="35" t="inlineStr">
        <is>
          <t>空调水泵
Bơm nước điều hòa</t>
        </is>
      </c>
      <c r="C6" s="35" t="inlineStr">
        <is>
          <t>采用变频电机
Sử dụng động cơ biến tần</t>
        </is>
      </c>
      <c r="D6" s="35" t="inlineStr">
        <is>
          <t>Ebara,南方、凯泉、白云
Ebara, CNP Nanfang (南方), Kaiquan (凯泉), Baiyun (白云)
【指定品牌，不可修改】
[Thương hiệu chỉ định, không được thay đổi]</t>
        </is>
      </c>
    </row>
    <row r="7" ht="29" customHeight="1">
      <c r="A7" s="44" t="inlineStr">
        <is>
          <t>4</t>
        </is>
      </c>
      <c r="B7" s="35" t="inlineStr">
        <is>
          <t>在线清洗装置
Thiết bị làm sạch trực tuyến</t>
        </is>
      </c>
      <c r="C7" s="35" t="inlineStr">
        <is>
          <t>管道式（胶球清洗）
Kiểu lắp trên đường ống (làm sạch bằng bóng cao su)</t>
        </is>
      </c>
      <c r="D7" s="35" t="n"/>
    </row>
    <row r="8" ht="41" customHeight="1">
      <c r="A8" s="44" t="inlineStr">
        <is>
          <t>5</t>
        </is>
      </c>
      <c r="B8" s="35" t="inlineStr">
        <is>
          <t>全自动加药装置
Thiết bị châm hóa chất hoàn toàn tự động</t>
        </is>
      </c>
      <c r="C8" s="35" t="n"/>
      <c r="D8" s="35" t="n"/>
    </row>
    <row r="9" ht="41" customHeight="1">
      <c r="A9" s="44" t="inlineStr">
        <is>
          <t>6</t>
        </is>
      </c>
      <c r="B9" s="35" t="inlineStr">
        <is>
          <t>空气处理机组、风机盘管
Cụm xử lý không khí, dàn quạt lạnh (FCU)</t>
        </is>
      </c>
      <c r="C9" s="35" t="n"/>
      <c r="D9" s="35" t="inlineStr">
        <is>
          <t>麦克维尔【指定品牌，不可修改】
McQuay (麦克维尔) [Thương hiệu chỉ định, không được thay đổi]</t>
        </is>
      </c>
    </row>
    <row r="10" ht="53" customHeight="1">
      <c r="A10" s="44" t="inlineStr">
        <is>
          <t>7</t>
        </is>
      </c>
      <c r="B10" s="35" t="inlineStr">
        <is>
          <t>机房群控管理平台
Nền tảng quản lý điều khiển nhóm phòng máy</t>
        </is>
      </c>
      <c r="C10" s="35" t="inlineStr">
        <is>
          <t>实时能效、综合能效、设备台账、能源管理等功能模块。云端存储，云端监控。
Các module chức năng như hiệu suất năng lượng thời gian thực, hiệu suất năng lượng tổng hợp, sổ theo dõi thiết bị, quản lý năng lượng, v.v. Lưu trữ trên đám mây, giám sát trên đám mây.</t>
        </is>
      </c>
      <c r="D10" s="35" t="inlineStr">
        <is>
          <t>运行3年以上的成熟自控平台，与现有管理平台兼容
Nền tảng tự động điều khiển hoàn thiện đã vận hành trên 3 năm, tương thích với nền tảng quản lý hiện có</t>
        </is>
      </c>
    </row>
    <row r="11" ht="53" customHeight="1">
      <c r="A11" s="44" t="inlineStr">
        <is>
          <t>8</t>
        </is>
      </c>
      <c r="B11" s="35" t="inlineStr">
        <is>
          <t>高精度温度传感器
Cảm biến nhiệt độ độ chính xác cao</t>
        </is>
      </c>
      <c r="C11" s="35" t="inlineStr">
        <is>
          <t>温度范围:0℃—50℃
Dải nhiệt độ: 0℃—50℃
AA级精度，测量温度精度不低于0.1℃
Độ chính xác cấp AA, độ chính xác đo nhiệt độ không thấp hơn 0.1℃</t>
        </is>
      </c>
      <c r="D11" s="35" t="n"/>
    </row>
    <row r="12" ht="29" customHeight="1">
      <c r="A12" s="44" t="inlineStr">
        <is>
          <t>9</t>
        </is>
      </c>
      <c r="B12" s="35" t="inlineStr">
        <is>
          <t>普通温度传感器
Cảm biến nhiệt độ thông thường</t>
        </is>
      </c>
      <c r="C12" s="35" t="inlineStr">
        <is>
          <t>A级精度，±0.3℃
Độ chính xác cấp A, ±0.3℃</t>
        </is>
      </c>
      <c r="D12" s="35" t="n"/>
    </row>
    <row r="13" ht="29" customHeight="1">
      <c r="A13" s="44" t="inlineStr">
        <is>
          <t>10</t>
        </is>
      </c>
      <c r="B13" s="35" t="inlineStr">
        <is>
          <t>室外温湿度传感器
Cảm biến nhiệt độ - độ ẩm ngoài trời</t>
        </is>
      </c>
      <c r="C13" s="35" t="inlineStr">
        <is>
          <t>精度：±2％
Độ chính xác: ±2％</t>
        </is>
      </c>
      <c r="D13" s="35" t="n"/>
    </row>
    <row r="14" ht="29" customHeight="1">
      <c r="A14" s="44" t="inlineStr">
        <is>
          <t>11</t>
        </is>
      </c>
      <c r="B14" s="35" t="inlineStr">
        <is>
          <t>压力传感器
Cảm biến áp suất</t>
        </is>
      </c>
      <c r="C14" s="35" t="inlineStr">
        <is>
          <t>精度±0.2%
Độ chính xác ±0.2%</t>
        </is>
      </c>
      <c r="D14" s="35" t="n"/>
    </row>
    <row r="15" ht="53" customHeight="1">
      <c r="A15" s="44" t="inlineStr">
        <is>
          <t>12</t>
        </is>
      </c>
      <c r="B15" s="35" t="inlineStr">
        <is>
          <t>高精度流量计
Đồng hồ đo lưu lượng độ chính xác cao</t>
        </is>
      </c>
      <c r="C15" s="35" t="inlineStr">
        <is>
          <t>精度要求：不低于 1 级 (±0.5%)
Yêu cầu độ chính xác: không thấp hơn cấp 1 (±0.5%)
控制模块不低于24位
Module điều khiển không thấp hơn 24 bit</t>
        </is>
      </c>
      <c r="D15" s="35" t="n"/>
    </row>
    <row r="16" ht="29" customHeight="1">
      <c r="A16" s="44" t="inlineStr">
        <is>
          <t>13</t>
        </is>
      </c>
      <c r="B16" s="35" t="inlineStr">
        <is>
          <t>控制器PLC
Bộ điều khiển PLC</t>
        </is>
      </c>
      <c r="C16" s="35" t="inlineStr">
        <is>
          <t>各种类型点数预留10%余量
Dự phòng 10% số điểm cho mỗi loại</t>
        </is>
      </c>
      <c r="D16" s="35" t="inlineStr">
        <is>
          <t>西门子、施耐德
Siemens (西门子), Schneider (施耐德)</t>
        </is>
      </c>
    </row>
    <row r="17" ht="29" customHeight="1">
      <c r="A17" s="44" t="inlineStr">
        <is>
          <t>14</t>
        </is>
      </c>
      <c r="B17" s="35" t="inlineStr">
        <is>
          <t>操作员工作站
Trạm làm việc của người vận hành</t>
        </is>
      </c>
      <c r="C17" s="35" t="inlineStr">
        <is>
          <t>配备台式机
Trang bị máy tính để bàn</t>
        </is>
      </c>
      <c r="D17" s="35" t="inlineStr">
        <is>
          <t>联想、华为、戴尔
Lenovo (联想), Huawei (华为), Dell (戴尔)</t>
        </is>
      </c>
    </row>
    <row r="18" ht="29" customHeight="1">
      <c r="A18" s="44" t="inlineStr">
        <is>
          <t>15</t>
        </is>
      </c>
      <c r="B18" s="35" t="inlineStr">
        <is>
          <t>温差旁通阀
Van bypass chênh lệch nhiệt độ</t>
        </is>
      </c>
      <c r="C18" s="35" t="n"/>
      <c r="D18" s="35" t="inlineStr">
        <is>
          <t>西门子、江森、霍尼韦尔
Siemens (西门子), Johnson Controls (江森), Honeywell (霍尼韦尔)</t>
        </is>
      </c>
    </row>
    <row r="19" ht="29" customHeight="1">
      <c r="A19" s="44" t="inlineStr">
        <is>
          <t>16</t>
        </is>
      </c>
      <c r="B19" s="35" t="inlineStr">
        <is>
          <t>电动压差旁通阀
Van bypass chênh áp điện</t>
        </is>
      </c>
      <c r="C19" s="35" t="n"/>
      <c r="D19" s="35" t="inlineStr">
        <is>
          <t>西门子、江森、霍尼韦尔
Siemens (西门子), Johnson Controls (江森), Honeywell (霍尼韦尔)</t>
        </is>
      </c>
    </row>
    <row r="20" ht="29" customHeight="1">
      <c r="A20" s="44" t="inlineStr">
        <is>
          <t>17</t>
        </is>
      </c>
      <c r="B20" s="35" t="inlineStr">
        <is>
          <t>电动蝶阀
Van bướm điện</t>
        </is>
      </c>
      <c r="C20" s="35" t="n"/>
      <c r="D20" s="35" t="inlineStr">
        <is>
          <t>西门子、江森、霍尼韦尔
Siemens (西门子), Johnson Controls (江森), Honeywell (霍尼韦尔)</t>
        </is>
      </c>
    </row>
    <row r="21" ht="29" customHeight="1">
      <c r="A21" s="44" t="inlineStr">
        <is>
          <t>18</t>
        </is>
      </c>
      <c r="B21" s="35" t="inlineStr">
        <is>
          <t>比例积分调节阀
Van điều chỉnh tỷ lệ - tích phân (PI)</t>
        </is>
      </c>
      <c r="C21" s="35" t="n"/>
      <c r="D21" s="35" t="inlineStr">
        <is>
          <t>西门子、江森、霍尼韦尔
Siemens (西门子), Johnson Controls (江森), Honeywell (霍尼韦尔)</t>
        </is>
      </c>
    </row>
    <row r="22" ht="41" customHeight="1">
      <c r="A22" s="44" t="inlineStr">
        <is>
          <t>19</t>
        </is>
      </c>
      <c r="B22" s="35" t="inlineStr">
        <is>
          <t>风机盘管电动二通阀
Van hai ngả điện cho dàn quạt lạnh (FCU)</t>
        </is>
      </c>
      <c r="C22" s="35" t="n"/>
      <c r="D22" s="35" t="inlineStr">
        <is>
          <t>西门子、江森、霍尼韦尔
Siemens (西门子), Johnson Controls (江森), Honeywell (霍尼韦尔)</t>
        </is>
      </c>
    </row>
    <row r="23" ht="29" customHeight="1">
      <c r="A23" s="44" t="inlineStr">
        <is>
          <t>20</t>
        </is>
      </c>
      <c r="B23" s="35" t="inlineStr">
        <is>
          <t>温控面板
Bảng điều khiển nhiệt độ</t>
        </is>
      </c>
      <c r="C23" s="35" t="n"/>
      <c r="D23" s="35" t="inlineStr">
        <is>
          <t>西门子、江森、霍尼韦尔
Siemens (西门子), Johnson Controls (江森), Honeywell (霍尼韦尔)</t>
        </is>
      </c>
    </row>
    <row r="24" ht="41" customHeight="1">
      <c r="A24" s="44" t="inlineStr">
        <is>
          <t>21</t>
        </is>
      </c>
      <c r="B24" s="35" t="inlineStr">
        <is>
          <t>手动蝶阀、过滤器、止回阀
Van bướm tay, bộ lọc, van một chiều</t>
        </is>
      </c>
      <c r="C24" s="35" t="n"/>
      <c r="D24" s="35" t="inlineStr">
        <is>
          <t>塘沽利盾、塘沽申瑞德、塘沽富恒星
Tanggu Lidun (塘沽利盾), Tanggu Shenruide (塘沽申瑞德), Tanggu Fuhengxing (塘沽富恒星)</t>
        </is>
      </c>
    </row>
    <row r="25" ht="41" customHeight="1">
      <c r="A25" s="44" t="inlineStr">
        <is>
          <t>22</t>
        </is>
      </c>
      <c r="B25" s="35" t="inlineStr">
        <is>
          <t>橡胶软接头、金属波纹管
Khớp nối mềm cao su, ống xếp kim loại</t>
        </is>
      </c>
      <c r="C25" s="35" t="n"/>
      <c r="D25" s="35" t="inlineStr">
        <is>
          <t>塘沽利盾、塘沽申瑞德、塘沽富恒星
Tanggu Lidun (塘沽利盾), Tanggu Shenruide (塘沽申瑞德), Tanggu Fuhengxing (塘沽富恒星)</t>
        </is>
      </c>
    </row>
    <row r="26" ht="41" customHeight="1">
      <c r="A26" s="44" t="inlineStr">
        <is>
          <t>23</t>
        </is>
      </c>
      <c r="B26" s="35" t="inlineStr">
        <is>
          <t>铜闸阀、铜球阀、排气阀
Van cổng đồng, van bi đồng, van xả khí</t>
        </is>
      </c>
      <c r="C26" s="35" t="n"/>
      <c r="D26" s="35" t="inlineStr">
        <is>
          <t>埃美柯、塘沽利盾、塘沽申瑞德、塘沽富恒星
AMICO (埃美柯), Tanggu Lidun (塘沽利盾), Tanggu Shenruide (塘沽申瑞德), Tanggu Fuhengxing (塘沽富恒星)</t>
        </is>
      </c>
    </row>
    <row r="27" ht="41" customHeight="1">
      <c r="A27" s="44" t="inlineStr">
        <is>
          <t>24</t>
        </is>
      </c>
      <c r="B27" s="35" t="inlineStr">
        <is>
          <t>压力表、温度计
Đồng hồ áp suất, nhiệt kế</t>
        </is>
      </c>
      <c r="C27" s="35" t="n"/>
      <c r="D27" s="35" t="inlineStr">
        <is>
          <t>上海仪表/红旗/华科/富阳
Shanghai Instrument (上海仪表)/Hongqi (红旗)/Huake (华科)/Fuyang (富阳)</t>
        </is>
      </c>
    </row>
    <row r="28" ht="41" customHeight="1">
      <c r="A28" s="44" t="inlineStr">
        <is>
          <t>25</t>
        </is>
      </c>
      <c r="B28" s="35" t="inlineStr">
        <is>
          <t>热镀锌钢管
Ống thép mạ kẽm nhúng nóng</t>
        </is>
      </c>
      <c r="C28" s="35" t="n"/>
      <c r="D28" s="35" t="inlineStr">
        <is>
          <t>振鸿、广岐、华岐、友发、南粤
Zhenhong (振鸿), Guangqi (广岐), Huaqi (华岐), Youfa (友发), Nanyue (南粤)</t>
        </is>
      </c>
    </row>
    <row r="29" ht="29" customHeight="1">
      <c r="A29" s="44" t="inlineStr">
        <is>
          <t>26</t>
        </is>
      </c>
      <c r="B29" s="35" t="inlineStr">
        <is>
          <t>PVC水管
Ống nước PVC</t>
        </is>
      </c>
      <c r="C29" s="35" t="n"/>
      <c r="D29" s="35" t="inlineStr">
        <is>
          <t>联塑、日丰
Lesso (联塑), Rifeng (日丰)</t>
        </is>
      </c>
    </row>
    <row r="30" ht="29" customHeight="1">
      <c r="A30" s="44" t="inlineStr">
        <is>
          <t>27</t>
        </is>
      </c>
      <c r="B30" s="35" t="inlineStr">
        <is>
          <t>镀锌风管
Ống gió mạ kẽm</t>
        </is>
      </c>
      <c r="C30" s="35" t="n"/>
      <c r="D30" s="35" t="inlineStr">
        <is>
          <t>华友、鞍钢
Huayou (华友), Ansteel (鞍钢)</t>
        </is>
      </c>
    </row>
    <row r="31" ht="29" customHeight="1">
      <c r="A31" s="44" t="inlineStr">
        <is>
          <t>28</t>
        </is>
      </c>
      <c r="B31" s="35" t="inlineStr">
        <is>
          <t>橡塑保温棉
Bông bảo ôn cao su-nhựa</t>
        </is>
      </c>
      <c r="C31" s="35" t="n"/>
      <c r="D31" s="35" t="inlineStr">
        <is>
          <t>Ord,贝柠、华美、派柏士
Ord, Beining (贝柠), Huamei (华美), Paibaishi (派柏士)</t>
        </is>
      </c>
    </row>
    <row r="32" ht="29" customHeight="1">
      <c r="A32" s="44" t="inlineStr">
        <is>
          <t>29</t>
        </is>
      </c>
      <c r="B32" s="35" t="inlineStr">
        <is>
          <t>多功能电力仪表
Đồng hồ đo điện đa năng</t>
        </is>
      </c>
      <c r="C32" s="35" t="inlineStr">
        <is>
          <t>电量、电压、电流、功率因数等
Điện năng, điện áp, dòng điện, hệ số công suất, v.v.</t>
        </is>
      </c>
      <c r="D32" s="35" t="inlineStr">
        <is>
          <t>安科瑞
Acrel (安科瑞)</t>
        </is>
      </c>
    </row>
    <row r="33" ht="29" customHeight="1">
      <c r="A33" s="44" t="inlineStr">
        <is>
          <t>30</t>
        </is>
      </c>
      <c r="B33" s="35" t="inlineStr">
        <is>
          <t>变频器
Biến tần</t>
        </is>
      </c>
      <c r="C33" s="35" t="n"/>
      <c r="D33" s="35" t="inlineStr">
        <is>
          <t>ABB、施耐德、西门子
ABB, Schneider (施耐德), Siemens (西门子)</t>
        </is>
      </c>
    </row>
    <row r="34" ht="29" customHeight="1">
      <c r="A34" s="44" t="inlineStr">
        <is>
          <t>31</t>
        </is>
      </c>
      <c r="B34" s="35" t="inlineStr">
        <is>
          <t>低压断路器及元器件
Aptomat hạ thế và linh kiện</t>
        </is>
      </c>
      <c r="C34" s="35" t="n"/>
      <c r="D34" s="35" t="inlineStr">
        <is>
          <t>ABB、施耐德、西门子
ABB, Schneider (施耐德), Siemens (西门子)</t>
        </is>
      </c>
    </row>
    <row r="35" ht="29" customHeight="1">
      <c r="A35" s="44" t="inlineStr">
        <is>
          <t>32</t>
        </is>
      </c>
      <c r="B35" s="35" t="inlineStr">
        <is>
          <t>电力电缆
Cáp điện động lực</t>
        </is>
      </c>
      <c r="C35" s="35" t="n"/>
      <c r="D35" s="35" t="inlineStr">
        <is>
          <t>深圳成天泰，南洋，LS,Taya
Shenzhen Chengtiantai (深圳成天泰), Nanyang (南洋), LS, Taya</t>
        </is>
      </c>
    </row>
    <row r="36" ht="29" customHeight="1">
      <c r="A36" s="44" t="inlineStr">
        <is>
          <t>33</t>
        </is>
      </c>
      <c r="B36" s="35" t="inlineStr">
        <is>
          <t>控制电缆
Cáp điều khiển</t>
        </is>
      </c>
      <c r="C36" s="35" t="n"/>
      <c r="D36" s="35" t="inlineStr">
        <is>
          <t>深圳成天泰，南洋，LS,Taya
Shenzhen Chengtiantai (深圳成天泰), Nanyang (南洋), LS, Taya</t>
        </is>
      </c>
    </row>
    <row r="37" ht="89" customHeight="1">
      <c r="A37" s="45" t="inlineStr">
        <is>
          <t>1. 表格内标注【指定品牌，不可修改】的设备及材料，投标单位不得更改品牌；
1. Đối với thiết bị và vật tư được ghi chú [Thương hiệu chỉ định, không được thay đổi] trong bảng, đơn vị dự thầu không được thay đổi thương hiệu;
2. 除上述指定品牌之外，其余设备、材料，投标单位可依据自身当地供应链情况选用越南本地一线品牌，但需在投标文件中完整、明确填报所选用的品牌；
2. Ngoài các thương hiệu chỉ định nêu trên, đối với các thiết bị, vật tư còn lại, đơn vị dự thầu có thể căn cứ tình hình chuỗi cung ứng tại địa phương của mình để lựa chọn thương hiệu hàng đầu tại Việt Nam, nhưng phải kê khai đầy đủ, rõ ràng thương hiệu được chọn trong hồ sơ dự thầu;
3. 甲方对投标人报送的替代品牌拥有最终否决权。
3. Bên A có quyền phủ quyết cuối cùng đối với thương hiệu thay thế do nhà thầu đề xuất.</t>
        </is>
      </c>
    </row>
  </sheetData>
  <mergeCells count="4">
    <mergeCell ref="C1:D1"/>
    <mergeCell ref="A2:D2"/>
    <mergeCell ref="A37:D37"/>
    <mergeCell ref="A1:B1"/>
  </mergeCells>
  <printOptions horizontalCentered="1"/>
  <pageMargins left="0.4" right="0.4" top="0.5" bottom="0.6" header="0.5" footer="0.5"/>
  <pageSetup orientation="landscape" paperSize="9" fitToHeight="0" fitToWidth="1"/>
  <headerFooter>
    <oddHeader/>
    <oddFooter>&amp;L&amp;8 BLT – Báo giá 报价单 MEGA&amp;R&amp;8 Trang 页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2026-10-10T00:05:42Z</dcterms:created>
  <dcterms:modified xmlns:dcterms="http://purl.org/dc/terms/" xmlns:xsi="http://www.w3.org/2001/XMLSchema-instance" xsi:type="dcterms:W3CDTF">2026-10-10T00:05:42Z</dcterms:modified>
</cp:coreProperties>
</file>
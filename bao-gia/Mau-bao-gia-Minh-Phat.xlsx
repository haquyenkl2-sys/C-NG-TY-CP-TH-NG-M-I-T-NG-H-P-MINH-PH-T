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áo giá" sheetId="1" state="visible" r:id="rId3"/>
    <sheet name="Thông tin công ty" sheetId="2" state="visible" r:id="rId4"/>
    <sheet name="Hướng dẫn" sheetId="3" state="visible" r:id="rId5"/>
  </sheets>
  <definedNames>
    <definedName function="false" hidden="false" localSheetId="0" name="_xlnm.Print_Area" vbProcedure="false">'Báo giá'!$A$1:$G$51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<sst xmlns="http://schemas.openxmlformats.org/spreadsheetml/2006/main" count="79" uniqueCount="79">
  <si>
    <t xml:space="preserve">BẢNG BÁO GIÁ</t>
  </si>
  <si>
    <t xml:space="preserve">Kính gửi:</t>
  </si>
  <si>
    <t xml:space="preserve">[Tên công ty / cá nhân khách hàng]</t>
  </si>
  <si>
    <t xml:space="preserve">Người liên hệ:</t>
  </si>
  <si>
    <t xml:space="preserve">[Ông/Bà ...]</t>
  </si>
  <si>
    <t xml:space="preserve">Điện thoại:</t>
  </si>
  <si>
    <t xml:space="preserve">[09xx xxx xxx]</t>
  </si>
  <si>
    <t xml:space="preserve">Địa chỉ:</t>
  </si>
  <si>
    <t xml:space="preserve">[Địa chỉ khách hàng]</t>
  </si>
  <si>
    <t xml:space="preserve">Số báo giá:</t>
  </si>
  <si>
    <t xml:space="preserve">BG-2026/001</t>
  </si>
  <si>
    <t xml:space="preserve">Email:</t>
  </si>
  <si>
    <t xml:space="preserve">[email khách hàng]</t>
  </si>
  <si>
    <t xml:space="preserve">Ngày báo giá:</t>
  </si>
  <si>
    <t xml:space="preserve">STT</t>
  </si>
  <si>
    <t xml:space="preserve">Tên hàng hóa / Quy cách</t>
  </si>
  <si>
    <t xml:space="preserve">ĐVT</t>
  </si>
  <si>
    <t xml:space="preserve">Số lượng</t>
  </si>
  <si>
    <t xml:space="preserve">Đơn giá
(VNĐ)</t>
  </si>
  <si>
    <t xml:space="preserve">Thành tiền
(VNĐ)</t>
  </si>
  <si>
    <t xml:space="preserve">Ghi chú</t>
  </si>
  <si>
    <t xml:space="preserve">Giấy in A4 Double A 70gsm</t>
  </si>
  <si>
    <t xml:space="preserve">Ram</t>
  </si>
  <si>
    <t xml:space="preserve">Hàng có sẵn</t>
  </si>
  <si>
    <t xml:space="preserve">Mực in HP 12A (chính hãng)</t>
  </si>
  <si>
    <t xml:space="preserve">Hộp</t>
  </si>
  <si>
    <t xml:space="preserve">Bảo hành 12 tháng</t>
  </si>
  <si>
    <t xml:space="preserve">Cộng tiền hàng</t>
  </si>
  <si>
    <t xml:space="preserve">Thuế GTGT (VAT) – thuế suất:</t>
  </si>
  <si>
    <t xml:space="preserve">TỔNG CỘNG THANH TOÁN</t>
  </si>
  <si>
    <t xml:space="preserve">Số tiền bằng chữ: Mười một triệu đồng chẵn.</t>
  </si>
  <si>
    <t xml:space="preserve">ĐIỀU KHOẢN BÁO GIÁ</t>
  </si>
  <si>
    <t xml:space="preserve">1. Đơn giá trên chưa bao gồm thuế GTGT; thuế GTGT được tính riêng như bảng trên.</t>
  </si>
  <si>
    <t xml:space="preserve">2. Hiệu lực báo giá: 30 ngày kể từ ngày báo giá.</t>
  </si>
  <si>
    <t xml:space="preserve">3. Thời gian giao hàng: trong vòng [03] ngày kể từ khi Quý khách xác nhận đặt hàng.</t>
  </si>
  <si>
    <t xml:space="preserve">4. Địa điểm giao hàng: [tại kho của Quý khách / tại kho Công ty].</t>
  </si>
  <si>
    <t xml:space="preserve">5. Thanh toán: [chuyển khoản / tiền mặt], [100% khi nhận hàng].</t>
  </si>
  <si>
    <t xml:space="preserve">Rất mong nhận được sự hợp tác của Quý khách. Trân trọng!</t>
  </si>
  <si>
    <t xml:space="preserve">KHÁCH HÀNG XÁC NHẬN</t>
  </si>
  <si>
    <t xml:space="preserve">(Ký, ghi rõ họ tên)</t>
  </si>
  <si>
    <t xml:space="preserve">(Ký, đóng dấu, ghi rõ họ tên)</t>
  </si>
  <si>
    <t xml:space="preserve">THÔNG TIN CÔNG TY (điền 1 lần, bảng báo giá tự lấy theo)</t>
  </si>
  <si>
    <t xml:space="preserve">Tên công ty</t>
  </si>
  <si>
    <t xml:space="preserve">CÔNG TY CỔ PHẦN THƯƠNG MẠI TỔNG HỢP MINH PHÁT</t>
  </si>
  <si>
    <t xml:space="preserve">Địa chỉ</t>
  </si>
  <si>
    <t xml:space="preserve">[Số nhà, đường, phường/xã, quận/huyện, tỉnh/thành phố]</t>
  </si>
  <si>
    <t xml:space="preserve">Mã số thuế</t>
  </si>
  <si>
    <t xml:space="preserve">[0123456789]</t>
  </si>
  <si>
    <t xml:space="preserve">Điện thoại</t>
  </si>
  <si>
    <t xml:space="preserve">[0900 000 000]</t>
  </si>
  <si>
    <t xml:space="preserve">Email</t>
  </si>
  <si>
    <t xml:space="preserve">[email@minhphat.vn]</t>
  </si>
  <si>
    <t xml:space="preserve">Website</t>
  </si>
  <si>
    <t xml:space="preserve">[www.minhphat.vn]</t>
  </si>
  <si>
    <t xml:space="preserve">Số tài khoản</t>
  </si>
  <si>
    <t xml:space="preserve">[0000 0000 0000]</t>
  </si>
  <si>
    <t xml:space="preserve">Ngân hàng</t>
  </si>
  <si>
    <t xml:space="preserve">[Tên ngân hàng – Chi nhánh]</t>
  </si>
  <si>
    <t xml:space="preserve">Người đại diện ký báo giá</t>
  </si>
  <si>
    <t xml:space="preserve">[Họ và tên]</t>
  </si>
  <si>
    <t xml:space="preserve">Chức vụ</t>
  </si>
  <si>
    <t xml:space="preserve">Giám đốc</t>
  </si>
  <si>
    <t xml:space="preserve">Ô nền vàng là ô cần sửa. Thay phần trong ngoặc vuông [ ] bằng thông tin thật.</t>
  </si>
  <si>
    <t xml:space="preserve">HƯỚNG DẪN SỬ DỤNG MẪU BÁO GIÁ</t>
  </si>
  <si>
    <t xml:space="preserve">BƯỚC 1 – Điền thông tin công ty (chỉ làm 1 lần)</t>
  </si>
  <si>
    <t xml:space="preserve">• Mở trang 'Thông tin công ty', sửa các ô nền vàng (địa chỉ, MST, điện thoại, tài khoản...).</t>
  </si>
  <si>
    <t xml:space="preserve">• Phần đầu trang và cuối trang của bảng báo giá sẽ tự cập nhật theo.</t>
  </si>
  <si>
    <t xml:space="preserve">BƯỚC 2 – Mỗi lần báo giá cho khách</t>
  </si>
  <si>
    <t xml:space="preserve">• Trang 'Báo giá': sửa thông tin khách hàng (ô C10 đến G13), số báo giá (F12) và ngày (F13).</t>
  </si>
  <si>
    <t xml:space="preserve">• Danh sách hàng: nhập Tên hàng (cột B), ĐVT (C), Số lượng (D), Đơn giá (E), Ghi chú (G) từ dòng 18 đến 29.</t>
  </si>
  <si>
    <t xml:space="preserve">• Cột STT và Thành tiền TỰ ĐỘNG tính – không cần gõ. Tổng tiền, thuế GTGT cũng tự tính.</t>
  </si>
  <si>
    <t xml:space="preserve">• Hai dòng đầu (Giấy in A4, Mực in HP 12A) chỉ là VÍ DỤ – hãy xóa và thay bằng hàng của bạn.</t>
  </si>
  <si>
    <t xml:space="preserve">• Thuế suất GTGT ở ô E31 (mặc định 10%). Đổi thành 8% hoặc 0% nếu cần.</t>
  </si>
  <si>
    <t xml:space="preserve">• Sửa dòng 'Số tiền bằng chữ' (ô A33) theo tổng cộng; sửa các điều khoản trong ngoặc [ ] cho phù hợp.</t>
  </si>
  <si>
    <t xml:space="preserve">BƯỚC 3 – Thay logo</t>
  </si>
  <si>
    <t xml:space="preserve">• Logo hiện tại là logo TẠM. Bấm vào logo trên trang 'Báo giá' → Delete, rồi Insert (Chèn) → Pictures (Ảnh) để chèn logo thật.</t>
  </si>
  <si>
    <t xml:space="preserve">BƯỚC 4 – In / gửi khách</t>
  </si>
  <si>
    <t xml:space="preserve">• File đã căn sẵn khổ A4 dọc, vừa 1 trang. Bấm File → Print, hoặc File → Save As → PDF để gửi qua Zalo/Email.</t>
  </si>
  <si>
    <t xml:space="preserve">• Mẹo: trước mỗi lần báo giá mới, nên lưu thành file mới (Save As) để giữ lại mẫu gốc.</t>
  </si>
</sst>
</file>

<file path=xl/styles.xml><?xml version="1.0" encoding="utf-8"?>
<styleSheet xmlns="http://schemas.openxmlformats.org/spreadsheetml/2006/main">
  <numFmts count="6">
    <numFmt numFmtId="164" formatCode="General"/>
    <numFmt numFmtId="165" formatCode="dd/mm/yyyy"/>
    <numFmt numFmtId="166" formatCode="General"/>
    <numFmt numFmtId="167" formatCode="#,##0.##"/>
    <numFmt numFmtId="168" formatCode="#,##0;\-#,##0;\-"/>
    <numFmt numFmtId="169" formatCode="0%"/>
  </numFmts>
  <fonts count="18">
    <font>
      <sz val="11"/>
      <color theme="1"/>
      <name val="Calibri"/>
      <family val="2"/>
      <charset val="1"/>
    </font>
    <font>
      <sz val="10"/>
      <name val="Arial"/>
      <family val="0"/>
    </font>
    <font>
      <sz val="10"/>
      <name val="Arial"/>
      <family val="0"/>
    </font>
    <font>
      <sz val="10"/>
      <name val="Arial"/>
      <family val="0"/>
    </font>
    <font>
      <b val="true"/>
      <sz val="14"/>
      <color rgb="FF14346E"/>
      <name val="Arial"/>
      <family val="0"/>
      <charset val="1"/>
    </font>
    <font>
      <sz val="10"/>
      <color rgb="FF000000"/>
      <name val="Arial"/>
      <family val="0"/>
      <charset val="1"/>
    </font>
    <font>
      <b val="true"/>
      <sz val="20"/>
      <color rgb="FF14346E"/>
      <name val="Arial"/>
      <family val="0"/>
      <charset val="1"/>
    </font>
    <font>
      <i val="true"/>
      <sz val="10"/>
      <color rgb="FF000000"/>
      <name val="Arial"/>
      <family val="0"/>
      <charset val="1"/>
    </font>
    <font>
      <b val="true"/>
      <sz val="11"/>
      <color rgb="FF000000"/>
      <name val="Arial"/>
      <family val="0"/>
      <charset val="1"/>
    </font>
    <font>
      <sz val="11"/>
      <color rgb="FF000000"/>
      <name val="Arial"/>
      <family val="0"/>
      <charset val="1"/>
    </font>
    <font>
      <b val="true"/>
      <sz val="10"/>
      <color rgb="FFFFFFFF"/>
      <name val="Arial"/>
      <family val="0"/>
      <charset val="1"/>
    </font>
    <font>
      <b val="true"/>
      <sz val="10"/>
      <color rgb="FF000000"/>
      <name val="Arial"/>
      <family val="0"/>
      <charset val="1"/>
    </font>
    <font>
      <b val="true"/>
      <i val="true"/>
      <sz val="10"/>
      <color rgb="FF000000"/>
      <name val="Arial"/>
      <family val="0"/>
      <charset val="1"/>
    </font>
    <font>
      <b val="true"/>
      <sz val="11"/>
      <color rgb="FF14346E"/>
      <name val="Arial"/>
      <family val="0"/>
      <charset val="1"/>
    </font>
    <font>
      <i val="true"/>
      <sz val="9"/>
      <color rgb="FF000000"/>
      <name val="Arial"/>
      <family val="0"/>
      <charset val="1"/>
    </font>
    <font>
      <b val="true"/>
      <sz val="13"/>
      <color rgb="FF14346E"/>
      <name val="Arial"/>
      <family val="0"/>
      <charset val="1"/>
    </font>
    <font>
      <sz val="11"/>
      <color rgb="FF0000FF"/>
      <name val="Arial"/>
      <family val="0"/>
      <charset val="1"/>
    </font>
    <font>
      <i val="true"/>
      <sz val="10"/>
      <color rgb="FF7F7F7F"/>
      <name val="Arial"/>
      <family val="0"/>
      <charset val="1"/>
    </font>
  </fonts>
  <fills count="6">
    <fill>
      <patternFill patternType="none"/>
    </fill>
    <fill>
      <patternFill patternType="gray125"/>
    </fill>
    <fill>
      <patternFill patternType="solid">
        <fgColor rgb="FF14346E"/>
        <bgColor rgb="FF333399"/>
      </patternFill>
    </fill>
    <fill>
      <patternFill patternType="solid">
        <fgColor rgb="FFF3F6FB"/>
        <bgColor rgb="FFFFFFFF"/>
      </patternFill>
    </fill>
    <fill>
      <patternFill patternType="solid">
        <fgColor rgb="FFFCEFCF"/>
        <bgColor rgb="FFFFF2CC"/>
      </patternFill>
    </fill>
    <fill>
      <patternFill patternType="solid">
        <fgColor rgb="FFFFF2CC"/>
        <bgColor rgb="FFFCEFCF"/>
      </patternFill>
    </fill>
  </fills>
  <borders count="3">
    <border diagonalUp="false" diagonalDown="false">
      <left/>
      <right/>
      <top/>
      <bottom/>
      <diagonal/>
    </border>
    <border diagonalUp="false" diagonalDown="false">
      <left/>
      <right/>
      <top/>
      <bottom style="medium">
        <color rgb="FFD4A028"/>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1"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5" fontId="9"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6" fontId="5"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7" fontId="5" fillId="0" borderId="2" xfId="0" applyFont="true" applyBorder="true" applyAlignment="true" applyProtection="false">
      <alignment horizontal="right" vertical="center" textRotation="0" wrapText="false" indent="0" shrinkToFit="false"/>
      <protection locked="true" hidden="false"/>
    </xf>
    <xf numFmtId="168" fontId="5" fillId="0" borderId="2" xfId="0" applyFont="true" applyBorder="true" applyAlignment="true" applyProtection="false">
      <alignment horizontal="right" vertical="center" textRotation="0" wrapText="false" indent="0" shrinkToFit="false"/>
      <protection locked="true" hidden="false"/>
    </xf>
    <xf numFmtId="166" fontId="5" fillId="3" borderId="2"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7" fontId="5" fillId="3" borderId="2" xfId="0" applyFont="true" applyBorder="true" applyAlignment="true" applyProtection="false">
      <alignment horizontal="right" vertical="center" textRotation="0" wrapText="false" indent="0" shrinkToFit="false"/>
      <protection locked="true" hidden="false"/>
    </xf>
    <xf numFmtId="168" fontId="5" fillId="3" borderId="2" xfId="0" applyFont="true" applyBorder="true" applyAlignment="true" applyProtection="false">
      <alignment horizontal="right" vertical="center" textRotation="0" wrapText="false" indent="0" shrinkToFit="false"/>
      <protection locked="true" hidden="false"/>
    </xf>
    <xf numFmtId="164" fontId="11" fillId="0"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8" fontId="11" fillId="0" borderId="2" xfId="0" applyFont="true" applyBorder="true" applyAlignment="true" applyProtection="false">
      <alignment horizontal="right" vertical="center" textRotation="0" wrapText="false" indent="0" shrinkToFit="false"/>
      <protection locked="true" hidden="false"/>
    </xf>
    <xf numFmtId="169" fontId="11" fillId="0"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right"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8" fontId="8" fillId="4" borderId="2"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5" borderId="2"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6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FCF"/>
      <rgbColor rgb="FF99CCFF"/>
      <rgbColor rgb="FFFF99CC"/>
      <rgbColor rgb="FFCC99FF"/>
      <rgbColor rgb="FFFFCC99"/>
      <rgbColor rgb="FF3366FF"/>
      <rgbColor rgb="FF33CCCC"/>
      <rgbColor rgb="FF99CC00"/>
      <rgbColor rgb="FFFFCC00"/>
      <rgbColor rgb="FFD4A028"/>
      <rgbColor rgb="FFFF6600"/>
      <rgbColor rgb="FF666699"/>
      <rgbColor rgb="FF7F7F7F"/>
      <rgbColor rgb="FF1434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304200</xdr:colOff>
      <xdr:row>3</xdr:row>
      <xdr:rowOff>75600</xdr:rowOff>
    </xdr:to>
    <xdr:pic>
      <xdr:nvPicPr>
        <xdr:cNvPr id="0" name="Image 1" descr="Picture"/>
        <xdr:cNvPicPr/>
      </xdr:nvPicPr>
      <xdr:blipFill>
        <a:blip r:embed="rId1"/>
        <a:stretch/>
      </xdr:blipFill>
      <xdr:spPr>
        <a:xfrm>
          <a:off x="0" y="0"/>
          <a:ext cx="83772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9"/>
    <col collapsed="false" customWidth="true" hidden="false" outlineLevel="0" max="4" min="4" style="0" width="10"/>
    <col collapsed="false" customWidth="true" hidden="false" outlineLevel="0" max="5" min="5" style="0" width="15"/>
    <col collapsed="false" customWidth="true" hidden="false" outlineLevel="0" max="6" min="6" style="0" width="17"/>
    <col collapsed="false" customWidth="true" hidden="false" outlineLevel="0" max="7" min="7" style="0" width="15"/>
  </cols>
  <sheetData>
    <row r="1" customFormat="false" ht="24" hidden="false" customHeight="true" outlineLevel="0" collapsed="false">
      <c r="B1" s="1" t="str">
        <f aca="false">'Thông tin công ty'!$C$4</f>
        <v>CÔNG TY CỔ PHẦN THƯƠNG MẠI TỔNG HỢP MINH PHÁT</v>
      </c>
      <c r="C1" s="1"/>
      <c r="D1" s="1"/>
      <c r="E1" s="1"/>
      <c r="F1" s="1"/>
      <c r="G1" s="1"/>
    </row>
    <row r="2" customFormat="false" ht="18" hidden="false" customHeight="true" outlineLevel="0" collapsed="false">
      <c r="B2" s="2" t="str">
        <f aca="false">"Địa chỉ: "&amp;'Thông tin công ty'!$C$5</f>
        <v>Địa chỉ: [Số nhà, đường, phường/xã, quận/huyện, tỉnh/thành phố]</v>
      </c>
      <c r="C2" s="2"/>
      <c r="D2" s="2"/>
      <c r="E2" s="2"/>
      <c r="F2" s="2"/>
      <c r="G2" s="2"/>
    </row>
    <row r="3" customFormat="false" ht="18" hidden="false" customHeight="true" outlineLevel="0" collapsed="false">
      <c r="B3" s="2" t="str">
        <f aca="false">"MST: "&amp;'Thông tin công ty'!$C$6&amp;"   |   Điện thoại: "&amp;'Thông tin công ty'!$C$7</f>
        <v>MST: [0123456789]   |   Điện thoại: [0900 000 000]</v>
      </c>
      <c r="C3" s="2"/>
      <c r="D3" s="2"/>
      <c r="E3" s="2"/>
      <c r="F3" s="2"/>
      <c r="G3" s="2"/>
    </row>
    <row r="4" customFormat="false" ht="18" hidden="false" customHeight="true" outlineLevel="0" collapsed="false">
      <c r="B4" s="2" t="str">
        <f aca="false">"Email: "&amp;'Thông tin công ty'!$C$8&amp;"   |   Website: "&amp;'Thông tin công ty'!$C$9</f>
        <v>Email: [email@minhphat.vn]   |   Website: [www.minhphat.vn]</v>
      </c>
      <c r="C4" s="2"/>
      <c r="D4" s="2"/>
      <c r="E4" s="2"/>
      <c r="F4" s="2"/>
      <c r="G4" s="2"/>
    </row>
    <row r="5" customFormat="false" ht="7.5" hidden="false" customHeight="true" outlineLevel="0" collapsed="false">
      <c r="A5" s="3"/>
      <c r="B5" s="3"/>
      <c r="C5" s="3"/>
      <c r="D5" s="3"/>
      <c r="E5" s="3"/>
      <c r="F5" s="3"/>
      <c r="G5" s="3"/>
    </row>
    <row r="7" customFormat="false" ht="31.5" hidden="false" customHeight="true" outlineLevel="0" collapsed="false">
      <c r="A7" s="4" t="s">
        <v>0</v>
      </c>
      <c r="B7" s="4"/>
      <c r="C7" s="4"/>
      <c r="D7" s="4"/>
      <c r="E7" s="4"/>
      <c r="F7" s="4"/>
      <c r="G7" s="4"/>
    </row>
    <row r="8" customFormat="false" ht="15" hidden="false" customHeight="false" outlineLevel="0" collapsed="false">
      <c r="A8" s="5" t="str">
        <f aca="false">"Số: "&amp;F12&amp;"  –  Ngày "&amp;TEXT(F13,"dd/mm/yyyy")</f>
        <v>Số: BG-2026/001  –  Ngày 01/10/2026</v>
      </c>
      <c r="B8" s="5"/>
      <c r="C8" s="5"/>
      <c r="D8" s="5"/>
      <c r="E8" s="5"/>
      <c r="F8" s="5"/>
      <c r="G8" s="5"/>
    </row>
    <row r="10" customFormat="false" ht="18.75" hidden="false" customHeight="true" outlineLevel="0" collapsed="false">
      <c r="B10" s="6" t="s">
        <v>1</v>
      </c>
      <c r="C10" s="7" t="s">
        <v>2</v>
      </c>
      <c r="D10" s="7"/>
      <c r="E10" s="7"/>
      <c r="F10" s="7"/>
      <c r="G10" s="7"/>
    </row>
    <row r="11" customFormat="false" ht="18.75" hidden="false" customHeight="true" outlineLevel="0" collapsed="false">
      <c r="B11" s="6" t="s">
        <v>3</v>
      </c>
      <c r="C11" s="8" t="s">
        <v>4</v>
      </c>
      <c r="D11" s="8"/>
      <c r="E11" s="9" t="s">
        <v>5</v>
      </c>
      <c r="F11" s="8" t="s">
        <v>6</v>
      </c>
      <c r="G11" s="8"/>
    </row>
    <row r="12" customFormat="false" ht="18.75" hidden="false" customHeight="true" outlineLevel="0" collapsed="false">
      <c r="B12" s="6" t="s">
        <v>7</v>
      </c>
      <c r="C12" s="8" t="s">
        <v>8</v>
      </c>
      <c r="D12" s="8"/>
      <c r="E12" s="9" t="s">
        <v>9</v>
      </c>
      <c r="F12" s="8" t="s">
        <v>10</v>
      </c>
      <c r="G12" s="8"/>
    </row>
    <row r="13" customFormat="false" ht="18.75" hidden="false" customHeight="true" outlineLevel="0" collapsed="false">
      <c r="B13" s="6" t="s">
        <v>11</v>
      </c>
      <c r="C13" s="8" t="s">
        <v>12</v>
      </c>
      <c r="D13" s="8"/>
      <c r="E13" s="9" t="s">
        <v>13</v>
      </c>
      <c r="F13" s="10" t="n">
        <v>46296</v>
      </c>
      <c r="G13" s="10"/>
    </row>
    <row r="15" customFormat="false" ht="30" hidden="false" customHeight="true" outlineLevel="0" collapsed="false">
      <c r="A15" s="11" t="str">
        <f aca="false">'Thông tin công ty'!$C$4&amp;" trân trọng cảm ơn Quý khách đã quan tâm đến sản phẩm của chúng tôi. Chúng tôi xin gửi tới Quý khách bảng báo giá như sau:"</f>
        <v>CÔNG TY CỔ PHẦN THƯƠNG MẠI TỔNG HỢP MINH PHÁT trân trọng cảm ơn Quý khách đã quan tâm đến sản phẩm của chúng tôi. Chúng tôi xin gửi tới Quý khách bảng báo giá như sau:</v>
      </c>
      <c r="B15" s="11"/>
      <c r="C15" s="11"/>
      <c r="D15" s="11"/>
      <c r="E15" s="11"/>
      <c r="F15" s="11"/>
      <c r="G15" s="11"/>
    </row>
    <row r="17" customFormat="false" ht="31.5" hidden="false" customHeight="true" outlineLevel="0" collapsed="false">
      <c r="A17" s="12" t="s">
        <v>14</v>
      </c>
      <c r="B17" s="12" t="s">
        <v>15</v>
      </c>
      <c r="C17" s="12" t="s">
        <v>16</v>
      </c>
      <c r="D17" s="12" t="s">
        <v>17</v>
      </c>
      <c r="E17" s="12" t="s">
        <v>18</v>
      </c>
      <c r="F17" s="12" t="s">
        <v>19</v>
      </c>
      <c r="G17" s="12" t="s">
        <v>20</v>
      </c>
    </row>
    <row r="18" customFormat="false" ht="19.5" hidden="false" customHeight="true" outlineLevel="0" collapsed="false">
      <c r="A18" s="13" t="n">
        <f aca="false">IF(B18="","",COUNTA($B$18:B18))</f>
        <v>1</v>
      </c>
      <c r="B18" s="14" t="s">
        <v>21</v>
      </c>
      <c r="C18" s="13" t="s">
        <v>22</v>
      </c>
      <c r="D18" s="15" t="n">
        <v>50</v>
      </c>
      <c r="E18" s="16" t="n">
        <v>75000</v>
      </c>
      <c r="F18" s="16" t="n">
        <f aca="false">IF(OR(D18="",E18=""),"",D18*E18)</f>
        <v>3750000</v>
      </c>
      <c r="G18" s="14" t="s">
        <v>23</v>
      </c>
    </row>
    <row r="19" customFormat="false" ht="19.5" hidden="false" customHeight="true" outlineLevel="0" collapsed="false">
      <c r="A19" s="17" t="n">
        <f aca="false">IF(B19="","",COUNTA($B$18:B19))</f>
        <v>2</v>
      </c>
      <c r="B19" s="18" t="s">
        <v>24</v>
      </c>
      <c r="C19" s="17" t="s">
        <v>25</v>
      </c>
      <c r="D19" s="19" t="n">
        <v>5</v>
      </c>
      <c r="E19" s="20" t="n">
        <v>1250000</v>
      </c>
      <c r="F19" s="20" t="n">
        <f aca="false">IF(OR(D19="",E19=""),"",D19*E19)</f>
        <v>6250000</v>
      </c>
      <c r="G19" s="18" t="s">
        <v>26</v>
      </c>
    </row>
    <row r="20" customFormat="false" ht="19.5" hidden="false" customHeight="true" outlineLevel="0" collapsed="false">
      <c r="A20" s="13" t="str">
        <f aca="false">IF(B20="","",COUNTA($B$18:B20))</f>
        <v/>
      </c>
      <c r="B20" s="14"/>
      <c r="C20" s="13"/>
      <c r="D20" s="15"/>
      <c r="E20" s="16"/>
      <c r="F20" s="16" t="str">
        <f aca="false">IF(OR(D20="",E20=""),"",D20*E20)</f>
        <v/>
      </c>
      <c r="G20" s="14"/>
    </row>
    <row r="21" customFormat="false" ht="19.5" hidden="false" customHeight="true" outlineLevel="0" collapsed="false">
      <c r="A21" s="17" t="str">
        <f aca="false">IF(B21="","",COUNTA($B$18:B21))</f>
        <v/>
      </c>
      <c r="B21" s="18"/>
      <c r="C21" s="17"/>
      <c r="D21" s="19"/>
      <c r="E21" s="20"/>
      <c r="F21" s="20" t="str">
        <f aca="false">IF(OR(D21="",E21=""),"",D21*E21)</f>
        <v/>
      </c>
      <c r="G21" s="18"/>
    </row>
    <row r="22" customFormat="false" ht="19.5" hidden="false" customHeight="true" outlineLevel="0" collapsed="false">
      <c r="A22" s="13" t="str">
        <f aca="false">IF(B22="","",COUNTA($B$18:B22))</f>
        <v/>
      </c>
      <c r="B22" s="14"/>
      <c r="C22" s="13"/>
      <c r="D22" s="15"/>
      <c r="E22" s="16"/>
      <c r="F22" s="16" t="str">
        <f aca="false">IF(OR(D22="",E22=""),"",D22*E22)</f>
        <v/>
      </c>
      <c r="G22" s="14"/>
    </row>
    <row r="23" customFormat="false" ht="19.5" hidden="false" customHeight="true" outlineLevel="0" collapsed="false">
      <c r="A23" s="17" t="str">
        <f aca="false">IF(B23="","",COUNTA($B$18:B23))</f>
        <v/>
      </c>
      <c r="B23" s="18"/>
      <c r="C23" s="17"/>
      <c r="D23" s="19"/>
      <c r="E23" s="20"/>
      <c r="F23" s="20" t="str">
        <f aca="false">IF(OR(D23="",E23=""),"",D23*E23)</f>
        <v/>
      </c>
      <c r="G23" s="18"/>
    </row>
    <row r="24" customFormat="false" ht="19.5" hidden="false" customHeight="true" outlineLevel="0" collapsed="false">
      <c r="A24" s="13" t="str">
        <f aca="false">IF(B24="","",COUNTA($B$18:B24))</f>
        <v/>
      </c>
      <c r="B24" s="14"/>
      <c r="C24" s="13"/>
      <c r="D24" s="15"/>
      <c r="E24" s="16"/>
      <c r="F24" s="16" t="str">
        <f aca="false">IF(OR(D24="",E24=""),"",D24*E24)</f>
        <v/>
      </c>
      <c r="G24" s="14"/>
    </row>
    <row r="25" customFormat="false" ht="19.5" hidden="false" customHeight="true" outlineLevel="0" collapsed="false">
      <c r="A25" s="17" t="str">
        <f aca="false">IF(B25="","",COUNTA($B$18:B25))</f>
        <v/>
      </c>
      <c r="B25" s="18"/>
      <c r="C25" s="17"/>
      <c r="D25" s="19"/>
      <c r="E25" s="20"/>
      <c r="F25" s="20" t="str">
        <f aca="false">IF(OR(D25="",E25=""),"",D25*E25)</f>
        <v/>
      </c>
      <c r="G25" s="18"/>
    </row>
    <row r="26" customFormat="false" ht="19.5" hidden="false" customHeight="true" outlineLevel="0" collapsed="false">
      <c r="A26" s="13" t="str">
        <f aca="false">IF(B26="","",COUNTA($B$18:B26))</f>
        <v/>
      </c>
      <c r="B26" s="14"/>
      <c r="C26" s="13"/>
      <c r="D26" s="15"/>
      <c r="E26" s="16"/>
      <c r="F26" s="16" t="str">
        <f aca="false">IF(OR(D26="",E26=""),"",D26*E26)</f>
        <v/>
      </c>
      <c r="G26" s="14"/>
    </row>
    <row r="27" customFormat="false" ht="19.5" hidden="false" customHeight="true" outlineLevel="0" collapsed="false">
      <c r="A27" s="17" t="str">
        <f aca="false">IF(B27="","",COUNTA($B$18:B27))</f>
        <v/>
      </c>
      <c r="B27" s="18"/>
      <c r="C27" s="17"/>
      <c r="D27" s="19"/>
      <c r="E27" s="20"/>
      <c r="F27" s="20" t="str">
        <f aca="false">IF(OR(D27="",E27=""),"",D27*E27)</f>
        <v/>
      </c>
      <c r="G27" s="18"/>
    </row>
    <row r="28" customFormat="false" ht="19.5" hidden="false" customHeight="true" outlineLevel="0" collapsed="false">
      <c r="A28" s="13" t="str">
        <f aca="false">IF(B28="","",COUNTA($B$18:B28))</f>
        <v/>
      </c>
      <c r="B28" s="14"/>
      <c r="C28" s="13"/>
      <c r="D28" s="15"/>
      <c r="E28" s="16"/>
      <c r="F28" s="16" t="str">
        <f aca="false">IF(OR(D28="",E28=""),"",D28*E28)</f>
        <v/>
      </c>
      <c r="G28" s="14"/>
    </row>
    <row r="29" customFormat="false" ht="19.5" hidden="false" customHeight="true" outlineLevel="0" collapsed="false">
      <c r="A29" s="17" t="str">
        <f aca="false">IF(B29="","",COUNTA($B$18:B29))</f>
        <v/>
      </c>
      <c r="B29" s="18"/>
      <c r="C29" s="17"/>
      <c r="D29" s="19"/>
      <c r="E29" s="20"/>
      <c r="F29" s="20" t="str">
        <f aca="false">IF(OR(D29="",E29=""),"",D29*E29)</f>
        <v/>
      </c>
      <c r="G29" s="18"/>
    </row>
    <row r="30" customFormat="false" ht="21" hidden="false" customHeight="true" outlineLevel="0" collapsed="false">
      <c r="A30" s="21" t="s">
        <v>27</v>
      </c>
      <c r="B30" s="21"/>
      <c r="C30" s="21"/>
      <c r="D30" s="21"/>
      <c r="E30" s="22"/>
      <c r="F30" s="23" t="n">
        <f aca="false">SUM(F18:F29)</f>
        <v>10000000</v>
      </c>
      <c r="G30" s="22"/>
    </row>
    <row r="31" customFormat="false" ht="21" hidden="false" customHeight="true" outlineLevel="0" collapsed="false">
      <c r="A31" s="21" t="s">
        <v>28</v>
      </c>
      <c r="B31" s="21"/>
      <c r="C31" s="21"/>
      <c r="D31" s="21"/>
      <c r="E31" s="24" t="n">
        <v>0.1</v>
      </c>
      <c r="F31" s="23" t="n">
        <f aca="false">ROUND(F30*E31,0)</f>
        <v>1000000</v>
      </c>
      <c r="G31" s="22"/>
    </row>
    <row r="32" customFormat="false" ht="21" hidden="false" customHeight="true" outlineLevel="0" collapsed="false">
      <c r="A32" s="25" t="s">
        <v>29</v>
      </c>
      <c r="B32" s="25"/>
      <c r="C32" s="25"/>
      <c r="D32" s="25"/>
      <c r="E32" s="26"/>
      <c r="F32" s="27" t="n">
        <f aca="false">F30+F31</f>
        <v>11000000</v>
      </c>
      <c r="G32" s="26"/>
    </row>
    <row r="33" customFormat="false" ht="30" hidden="false" customHeight="true" outlineLevel="0" collapsed="false">
      <c r="A33" s="28" t="s">
        <v>30</v>
      </c>
      <c r="B33" s="28"/>
      <c r="C33" s="28"/>
      <c r="D33" s="28"/>
      <c r="E33" s="28"/>
      <c r="F33" s="28"/>
      <c r="G33" s="28"/>
    </row>
    <row r="35" customFormat="false" ht="15" hidden="false" customHeight="true" outlineLevel="0" collapsed="false">
      <c r="A35" s="29" t="s">
        <v>31</v>
      </c>
      <c r="B35" s="29"/>
      <c r="C35" s="29"/>
      <c r="D35" s="29"/>
      <c r="E35" s="29"/>
      <c r="F35" s="29"/>
      <c r="G35" s="29"/>
    </row>
    <row r="36" customFormat="false" ht="18" hidden="false" customHeight="true" outlineLevel="0" collapsed="false">
      <c r="A36" s="30" t="s">
        <v>32</v>
      </c>
      <c r="B36" s="30"/>
      <c r="C36" s="30"/>
      <c r="D36" s="30"/>
      <c r="E36" s="30"/>
      <c r="F36" s="30"/>
      <c r="G36" s="30"/>
    </row>
    <row r="37" customFormat="false" ht="18" hidden="false" customHeight="true" outlineLevel="0" collapsed="false">
      <c r="A37" s="30" t="s">
        <v>33</v>
      </c>
      <c r="B37" s="30"/>
      <c r="C37" s="30"/>
      <c r="D37" s="30"/>
      <c r="E37" s="30"/>
      <c r="F37" s="30"/>
      <c r="G37" s="30"/>
    </row>
    <row r="38" customFormat="false" ht="18" hidden="false" customHeight="true" outlineLevel="0" collapsed="false">
      <c r="A38" s="30" t="s">
        <v>34</v>
      </c>
      <c r="B38" s="30"/>
      <c r="C38" s="30"/>
      <c r="D38" s="30"/>
      <c r="E38" s="30"/>
      <c r="F38" s="30"/>
      <c r="G38" s="30"/>
    </row>
    <row r="39" customFormat="false" ht="18" hidden="false" customHeight="true" outlineLevel="0" collapsed="false">
      <c r="A39" s="30" t="s">
        <v>35</v>
      </c>
      <c r="B39" s="30"/>
      <c r="C39" s="30"/>
      <c r="D39" s="30"/>
      <c r="E39" s="30"/>
      <c r="F39" s="30"/>
      <c r="G39" s="30"/>
    </row>
    <row r="40" customFormat="false" ht="18" hidden="false" customHeight="true" outlineLevel="0" collapsed="false">
      <c r="A40" s="30" t="s">
        <v>36</v>
      </c>
      <c r="B40" s="30"/>
      <c r="C40" s="30"/>
      <c r="D40" s="30"/>
      <c r="E40" s="30"/>
      <c r="F40" s="30"/>
      <c r="G40" s="30"/>
    </row>
    <row r="41" customFormat="false" ht="30" hidden="false" customHeight="true" outlineLevel="0" collapsed="false">
      <c r="A41" s="30" t="str">
        <f aca="false">"6. Tài khoản: "&amp;'Thông tin công ty'!$C$10&amp;" – "&amp;'Thông tin công ty'!$C$11&amp;" – Chủ tài khoản: "&amp;'Thông tin công ty'!$C$4</f>
        <v>6. Tài khoản: [0000 0000 0000] – [Tên ngân hàng – Chi nhánh] – Chủ tài khoản: CÔNG TY CỔ PHẦN THƯƠNG MẠI TỔNG HỢP MINH PHÁT</v>
      </c>
      <c r="B41" s="30"/>
      <c r="C41" s="30"/>
      <c r="D41" s="30"/>
      <c r="E41" s="30"/>
      <c r="F41" s="30"/>
      <c r="G41" s="30"/>
    </row>
    <row r="43" customFormat="false" ht="15" hidden="false" customHeight="true" outlineLevel="0" collapsed="false">
      <c r="A43" s="11" t="s">
        <v>37</v>
      </c>
      <c r="B43" s="11"/>
      <c r="C43" s="11"/>
      <c r="D43" s="11"/>
      <c r="E43" s="11"/>
      <c r="F43" s="11"/>
      <c r="G43" s="11"/>
    </row>
    <row r="45" customFormat="false" ht="15" hidden="false" customHeight="true" outlineLevel="0" collapsed="false">
      <c r="A45" s="31" t="s">
        <v>38</v>
      </c>
      <c r="B45" s="31"/>
      <c r="C45" s="31"/>
      <c r="E45" s="31" t="str">
        <f aca="false">UPPER('Thông tin công ty'!$C$13)</f>
        <v>GIÁM ĐỐC</v>
      </c>
      <c r="F45" s="31"/>
      <c r="G45" s="31"/>
    </row>
    <row r="46" customFormat="false" ht="15" hidden="false" customHeight="true" outlineLevel="0" collapsed="false">
      <c r="A46" s="32" t="s">
        <v>39</v>
      </c>
      <c r="B46" s="32"/>
      <c r="C46" s="32"/>
      <c r="E46" s="32" t="s">
        <v>40</v>
      </c>
      <c r="F46" s="32"/>
      <c r="G46" s="32"/>
    </row>
    <row r="51" customFormat="false" ht="15" hidden="false" customHeight="false" outlineLevel="0" collapsed="false">
      <c r="E51" s="31" t="str">
        <f aca="false">'Thông tin công ty'!$C$12</f>
        <v>[Họ và tên]</v>
      </c>
      <c r="F51" s="31"/>
      <c r="G51" s="31"/>
    </row>
  </sheetData>
  <mergeCells count="31">
    <mergeCell ref="B1:G1"/>
    <mergeCell ref="B2:G2"/>
    <mergeCell ref="B3:G3"/>
    <mergeCell ref="B4:G4"/>
    <mergeCell ref="A7:G7"/>
    <mergeCell ref="A8:G8"/>
    <mergeCell ref="C10:G10"/>
    <mergeCell ref="C11:D11"/>
    <mergeCell ref="F11:G11"/>
    <mergeCell ref="C12:D12"/>
    <mergeCell ref="F12:G12"/>
    <mergeCell ref="C13:D13"/>
    <mergeCell ref="F13:G13"/>
    <mergeCell ref="A15:G15"/>
    <mergeCell ref="A30:D30"/>
    <mergeCell ref="A31:D31"/>
    <mergeCell ref="A32:D32"/>
    <mergeCell ref="A33:G33"/>
    <mergeCell ref="A35:G35"/>
    <mergeCell ref="A36:G36"/>
    <mergeCell ref="A37:G37"/>
    <mergeCell ref="A38:G38"/>
    <mergeCell ref="A39:G39"/>
    <mergeCell ref="A40:G40"/>
    <mergeCell ref="A41:G41"/>
    <mergeCell ref="A43:G43"/>
    <mergeCell ref="A45:C45"/>
    <mergeCell ref="E45:G45"/>
    <mergeCell ref="A46:C46"/>
    <mergeCell ref="E46:G46"/>
    <mergeCell ref="E51:G51"/>
  </mergeCells>
  <printOptions headings="false" gridLines="false" gridLinesSet="true" horizontalCentered="true" verticalCentered="false"/>
  <pageMargins left="0.5" right="0.4"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70"/>
  </cols>
  <sheetData>
    <row r="2" customFormat="false" ht="16.15" hidden="false" customHeight="false" outlineLevel="0" collapsed="false">
      <c r="B2" s="33" t="s">
        <v>41</v>
      </c>
    </row>
    <row r="4" customFormat="false" ht="19.5" hidden="false" customHeight="true" outlineLevel="0" collapsed="false">
      <c r="B4" s="34" t="s">
        <v>42</v>
      </c>
      <c r="C4" s="35" t="s">
        <v>43</v>
      </c>
    </row>
    <row r="5" customFormat="false" ht="19.5" hidden="false" customHeight="true" outlineLevel="0" collapsed="false">
      <c r="B5" s="34" t="s">
        <v>44</v>
      </c>
      <c r="C5" s="35" t="s">
        <v>45</v>
      </c>
    </row>
    <row r="6" customFormat="false" ht="19.5" hidden="false" customHeight="true" outlineLevel="0" collapsed="false">
      <c r="B6" s="34" t="s">
        <v>46</v>
      </c>
      <c r="C6" s="35" t="s">
        <v>47</v>
      </c>
    </row>
    <row r="7" customFormat="false" ht="19.5" hidden="false" customHeight="true" outlineLevel="0" collapsed="false">
      <c r="B7" s="34" t="s">
        <v>48</v>
      </c>
      <c r="C7" s="35" t="s">
        <v>49</v>
      </c>
    </row>
    <row r="8" customFormat="false" ht="19.5" hidden="false" customHeight="true" outlineLevel="0" collapsed="false">
      <c r="B8" s="34" t="s">
        <v>50</v>
      </c>
      <c r="C8" s="35" t="s">
        <v>51</v>
      </c>
    </row>
    <row r="9" customFormat="false" ht="19.5" hidden="false" customHeight="true" outlineLevel="0" collapsed="false">
      <c r="B9" s="34" t="s">
        <v>52</v>
      </c>
      <c r="C9" s="35" t="s">
        <v>53</v>
      </c>
    </row>
    <row r="10" customFormat="false" ht="19.5" hidden="false" customHeight="true" outlineLevel="0" collapsed="false">
      <c r="B10" s="34" t="s">
        <v>54</v>
      </c>
      <c r="C10" s="35" t="s">
        <v>55</v>
      </c>
    </row>
    <row r="11" customFormat="false" ht="19.5" hidden="false" customHeight="true" outlineLevel="0" collapsed="false">
      <c r="B11" s="34" t="s">
        <v>56</v>
      </c>
      <c r="C11" s="35" t="s">
        <v>57</v>
      </c>
    </row>
    <row r="12" customFormat="false" ht="19.5" hidden="false" customHeight="true" outlineLevel="0" collapsed="false">
      <c r="B12" s="34" t="s">
        <v>58</v>
      </c>
      <c r="C12" s="35" t="s">
        <v>59</v>
      </c>
    </row>
    <row r="13" customFormat="false" ht="19.5" hidden="false" customHeight="true" outlineLevel="0" collapsed="false">
      <c r="B13" s="34" t="s">
        <v>60</v>
      </c>
      <c r="C13" s="35" t="s">
        <v>61</v>
      </c>
    </row>
    <row r="15" customFormat="false" ht="15" hidden="false" customHeight="false" outlineLevel="0" collapsed="false">
      <c r="B15" s="3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17.35" hidden="false" customHeight="false" outlineLevel="0" collapsed="false">
      <c r="B2" s="37" t="s">
        <v>63</v>
      </c>
    </row>
    <row r="3" customFormat="false" ht="15" hidden="false" customHeight="false" outlineLevel="0" collapsed="false">
      <c r="B3" s="38"/>
    </row>
    <row r="4" customFormat="false" ht="15" hidden="false" customHeight="false" outlineLevel="0" collapsed="false">
      <c r="B4" s="39" t="s">
        <v>64</v>
      </c>
    </row>
    <row r="5" customFormat="false" ht="15" hidden="false" customHeight="false" outlineLevel="0" collapsed="false">
      <c r="B5" s="40" t="s">
        <v>65</v>
      </c>
    </row>
    <row r="6" customFormat="false" ht="15" hidden="false" customHeight="false" outlineLevel="0" collapsed="false">
      <c r="B6" s="40" t="s">
        <v>66</v>
      </c>
    </row>
    <row r="7" customFormat="false" ht="15" hidden="false" customHeight="false" outlineLevel="0" collapsed="false">
      <c r="B7" s="38"/>
    </row>
    <row r="8" customFormat="false" ht="15" hidden="false" customHeight="false" outlineLevel="0" collapsed="false">
      <c r="B8" s="39" t="s">
        <v>67</v>
      </c>
    </row>
    <row r="9" customFormat="false" ht="15" hidden="false" customHeight="false" outlineLevel="0" collapsed="false">
      <c r="B9" s="40" t="s">
        <v>68</v>
      </c>
    </row>
    <row r="10" customFormat="false" ht="15" hidden="false" customHeight="false" outlineLevel="0" collapsed="false">
      <c r="B10" s="40" t="s">
        <v>69</v>
      </c>
    </row>
    <row r="11" customFormat="false" ht="15" hidden="false" customHeight="false" outlineLevel="0" collapsed="false">
      <c r="B11" s="40" t="s">
        <v>70</v>
      </c>
    </row>
    <row r="12" customFormat="false" ht="15" hidden="false" customHeight="false" outlineLevel="0" collapsed="false">
      <c r="B12" s="40" t="s">
        <v>71</v>
      </c>
    </row>
    <row r="13" customFormat="false" ht="15" hidden="false" customHeight="false" outlineLevel="0" collapsed="false">
      <c r="B13" s="40" t="s">
        <v>72</v>
      </c>
    </row>
    <row r="14" customFormat="false" ht="15" hidden="false" customHeight="false" outlineLevel="0" collapsed="false">
      <c r="B14" s="40" t="s">
        <v>73</v>
      </c>
    </row>
    <row r="15" customFormat="false" ht="15" hidden="false" customHeight="false" outlineLevel="0" collapsed="false">
      <c r="B15" s="38"/>
    </row>
    <row r="16" customFormat="false" ht="15" hidden="false" customHeight="false" outlineLevel="0" collapsed="false">
      <c r="B16" s="39" t="s">
        <v>74</v>
      </c>
    </row>
    <row r="17" customFormat="false" ht="15" hidden="false" customHeight="false" outlineLevel="0" collapsed="false">
      <c r="B17" s="40" t="s">
        <v>75</v>
      </c>
    </row>
    <row r="18" customFormat="false" ht="15" hidden="false" customHeight="false" outlineLevel="0" collapsed="false">
      <c r="B18" s="38"/>
    </row>
    <row r="19" customFormat="false" ht="15" hidden="false" customHeight="false" outlineLevel="0" collapsed="false">
      <c r="B19" s="39" t="s">
        <v>76</v>
      </c>
    </row>
    <row r="20" customFormat="false" ht="15" hidden="false" customHeight="false" outlineLevel="0" collapsed="false">
      <c r="B20" s="40" t="s">
        <v>77</v>
      </c>
    </row>
    <row r="21" customFormat="false" ht="15" hidden="false" customHeight="false" outlineLevel="0" collapsed="false">
      <c r="B21" s="40"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2026-10-01T23:05:03Z</dcterms:created>
  <dc:creator>openpyxl</dc:creator>
  <dc:description/>
  <dc:language>en-US</dc:language>
  <cp:lastModifiedBy/>
  <dcterms:modified xsi:type="dcterms:W3CDTF">2026-10-01T23:05:03Z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
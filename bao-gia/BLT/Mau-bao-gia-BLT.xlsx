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áo giá" sheetId="1" state="visible" r:id="rId1"/>
    <sheet xmlns:r="http://schemas.openxmlformats.org/officeDocument/2006/relationships" name="Thông tin công ty" sheetId="2" state="visible" r:id="rId2"/>
    <sheet xmlns:r="http://schemas.openxmlformats.org/officeDocument/2006/relationships" name="Hướng dẫn" sheetId="3" state="visible" r:id="rId3"/>
  </sheets>
  <definedNames>
    <definedName name="_xlnm.Print_Area" localSheetId="0">'Báo giá'!$A$1:$G$51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#,##0;\-#,##0;\-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4346E"/>
      <sz val="14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4346E"/>
      <sz val="20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i val="1"/>
      <color rgb="FF000000"/>
      <sz val="10"/>
    </font>
    <font>
      <name val="Arial"/>
      <charset val="1"/>
      <family val="0"/>
      <b val="1"/>
      <color rgb="FF14346E"/>
      <sz val="11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14346E"/>
      <sz val="13"/>
    </font>
    <font>
      <name val="Arial"/>
      <charset val="1"/>
      <family val="0"/>
      <color rgb="FF0000FF"/>
      <sz val="11"/>
    </font>
    <font>
      <name val="Arial"/>
      <charset val="1"/>
      <family val="0"/>
      <i val="1"/>
      <color rgb="FF7F7F7F"/>
      <sz val="10"/>
    </font>
    <font>
      <name val="Arial"/>
      <charset val="1"/>
      <family val="0"/>
      <color rgb="FF000000"/>
      <sz val="9.5"/>
    </font>
  </fonts>
  <fills count="6">
    <fill>
      <patternFill/>
    </fill>
    <fill>
      <patternFill patternType="gray125"/>
    </fill>
    <fill>
      <patternFill patternType="solid">
        <fgColor rgb="FF14346E"/>
        <bgColor rgb="FF333399"/>
      </patternFill>
    </fill>
    <fill>
      <patternFill patternType="solid">
        <fgColor rgb="FFF3F6FB"/>
        <bgColor rgb="FFFFFFFF"/>
      </patternFill>
    </fill>
    <fill>
      <patternFill patternType="solid">
        <fgColor rgb="FFFCEFCF"/>
        <bgColor rgb="FFFFF2CC"/>
      </patternFill>
    </fill>
    <fill>
      <patternFill patternType="solid">
        <fgColor rgb="FFFFF2CC"/>
        <bgColor rgb="FFFCEFCF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D4A028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 indent="1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164" fontId="9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165" fontId="5" fillId="0" borderId="2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165" fontId="5" fillId="3" borderId="2" applyAlignment="1" pivotButton="0" quotePrefix="0" xfId="0">
      <alignment horizontal="right" vertical="center"/>
    </xf>
    <xf numFmtId="166" fontId="5" fillId="3" borderId="2" applyAlignment="1" pivotButton="0" quotePrefix="0" xfId="0">
      <alignment horizontal="right" vertical="center"/>
    </xf>
    <xf numFmtId="0" fontId="11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166" fontId="11" fillId="0" borderId="2" applyAlignment="1" pivotButton="0" quotePrefix="0" xfId="0">
      <alignment horizontal="right" vertical="center"/>
    </xf>
    <xf numFmtId="9" fontId="11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right" vertical="center"/>
    </xf>
    <xf numFmtId="0" fontId="0" fillId="4" borderId="2" applyAlignment="1" pivotButton="0" quotePrefix="0" xfId="0">
      <alignment horizontal="general" vertical="bottom"/>
    </xf>
    <xf numFmtId="166" fontId="8" fillId="4" borderId="2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 indent="1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164" fontId="9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165" fontId="5" fillId="0" borderId="2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165" fontId="5" fillId="3" borderId="2" applyAlignment="1" pivotButton="0" quotePrefix="0" xfId="0">
      <alignment horizontal="right" vertical="center"/>
    </xf>
    <xf numFmtId="166" fontId="5" fillId="3" borderId="2" applyAlignment="1" pivotButton="0" quotePrefix="0" xfId="0">
      <alignment horizontal="right" vertical="center"/>
    </xf>
    <xf numFmtId="0" fontId="11" fillId="0" borderId="2" applyAlignment="1" pivotButton="0" quotePrefix="0" xfId="0">
      <alignment horizontal="right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2" applyAlignment="1" pivotButton="0" quotePrefix="0" xfId="0">
      <alignment horizontal="general" vertical="bottom"/>
    </xf>
    <xf numFmtId="166" fontId="11" fillId="0" borderId="2" applyAlignment="1" pivotButton="0" quotePrefix="0" xfId="0">
      <alignment horizontal="right" vertical="center"/>
    </xf>
    <xf numFmtId="9" fontId="11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right" vertical="center"/>
    </xf>
    <xf numFmtId="0" fontId="0" fillId="4" borderId="2" applyAlignment="1" pivotButton="0" quotePrefix="0" xfId="0">
      <alignment horizontal="general" vertical="bottom"/>
    </xf>
    <xf numFmtId="166" fontId="8" fillId="4" borderId="2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6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FCF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A028"/>
      <rgbColor rgb="FFFF6600"/>
      <rgbColor rgb="FF666699"/>
      <rgbColor rgb="FF7F7F7F"/>
      <rgbColor rgb="FF14346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19050</rowOff>
    </from>
    <ext cx="952500" cy="952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G5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6" customWidth="1" style="41" min="1" max="1"/>
    <col width="40" customWidth="1" style="41" min="2" max="2"/>
    <col width="9" customWidth="1" style="41" min="3" max="3"/>
    <col width="10" customWidth="1" style="41" min="4" max="4"/>
    <col width="15" customWidth="1" style="41" min="5" max="5"/>
    <col width="17" customWidth="1" style="41" min="6" max="6"/>
    <col width="15" customWidth="1" style="41" min="7" max="7"/>
  </cols>
  <sheetData>
    <row r="1" ht="24" customHeight="1" s="42">
      <c r="B1" s="43">
        <f>'Thông tin công ty'!$C$4</f>
        <v/>
      </c>
    </row>
    <row r="2" ht="18" customHeight="1" s="42">
      <c r="B2" s="44">
        <f>"Địa chỉ: "&amp;'Thông tin công ty'!$C$5</f>
        <v/>
      </c>
    </row>
    <row r="3" ht="18" customHeight="1" s="42">
      <c r="B3" s="44">
        <f>"MST: "&amp;'Thông tin công ty'!$C$6&amp;"   |   Điện thoại: "&amp;'Thông tin công ty'!$C$7</f>
        <v/>
      </c>
    </row>
    <row r="4" ht="18" customHeight="1" s="42">
      <c r="B4" s="44">
        <f>"Email: "&amp;'Thông tin công ty'!$C$8</f>
        <v/>
      </c>
    </row>
    <row r="5" ht="7.5" customHeight="1" s="42">
      <c r="A5" s="45" t="n"/>
      <c r="B5" s="45" t="n"/>
      <c r="C5" s="45" t="n"/>
      <c r="D5" s="45" t="n"/>
      <c r="E5" s="45" t="n"/>
      <c r="F5" s="45" t="n"/>
      <c r="G5" s="45" t="n"/>
    </row>
    <row r="7" ht="31.5" customHeight="1" s="42">
      <c r="A7" s="46" t="inlineStr">
        <is>
          <t>BẢNG BÁO GIÁ</t>
        </is>
      </c>
    </row>
    <row r="8" ht="15" customHeight="1" s="42">
      <c r="A8" s="47">
        <f>"Số: "&amp;F12&amp;"  –  Ngày "&amp;TEXT(F13,"dd/mm/yyyy")</f>
        <v/>
      </c>
    </row>
    <row r="10" ht="18.75" customHeight="1" s="42">
      <c r="B10" s="48" t="inlineStr">
        <is>
          <t>Kính gửi:</t>
        </is>
      </c>
      <c r="C10" s="49" t="inlineStr">
        <is>
          <t>[Tên công ty / cá nhân khách hàng]</t>
        </is>
      </c>
    </row>
    <row r="11" ht="18.75" customHeight="1" s="42">
      <c r="B11" s="48" t="inlineStr">
        <is>
          <t>Người liên hệ:</t>
        </is>
      </c>
      <c r="C11" s="50" t="inlineStr">
        <is>
          <t>[Ông/Bà ...]</t>
        </is>
      </c>
      <c r="E11" s="49" t="inlineStr">
        <is>
          <t>Điện thoại:</t>
        </is>
      </c>
      <c r="F11" s="50" t="inlineStr">
        <is>
          <t>[09xx xxx xxx]</t>
        </is>
      </c>
    </row>
    <row r="12" ht="18.75" customHeight="1" s="42">
      <c r="B12" s="48" t="inlineStr">
        <is>
          <t>Địa chỉ:</t>
        </is>
      </c>
      <c r="C12" s="50" t="inlineStr">
        <is>
          <t>[Địa chỉ khách hàng]</t>
        </is>
      </c>
      <c r="E12" s="49" t="inlineStr">
        <is>
          <t>Số báo giá:</t>
        </is>
      </c>
      <c r="F12" s="50" t="inlineStr">
        <is>
          <t>BG-2026/001</t>
        </is>
      </c>
    </row>
    <row r="13" ht="18.75" customHeight="1" s="42">
      <c r="B13" s="48" t="inlineStr">
        <is>
          <t>Email:</t>
        </is>
      </c>
      <c r="C13" s="50" t="inlineStr">
        <is>
          <t>[email khách hàng]</t>
        </is>
      </c>
      <c r="E13" s="49" t="inlineStr">
        <is>
          <t>Ngày báo giá:</t>
        </is>
      </c>
      <c r="F13" s="51" t="n">
        <v>46296</v>
      </c>
    </row>
    <row r="15" ht="30" customHeight="1" s="42">
      <c r="A15" s="52">
        <f>'Thông tin công ty'!$C$4&amp;" trân trọng cảm ơn Quý khách đã quan tâm đến sản phẩm của chúng tôi. Chúng tôi xin gửi tới Quý khách bảng báo giá như sau:"</f>
        <v/>
      </c>
    </row>
    <row r="17" ht="31.5" customHeight="1" s="42">
      <c r="A17" s="53" t="inlineStr">
        <is>
          <t>STT</t>
        </is>
      </c>
      <c r="B17" s="53" t="inlineStr">
        <is>
          <t>Tên hàng hóa / Quy cách</t>
        </is>
      </c>
      <c r="C17" s="53" t="inlineStr">
        <is>
          <t>ĐVT</t>
        </is>
      </c>
      <c r="D17" s="53" t="inlineStr">
        <is>
          <t>Số lượng</t>
        </is>
      </c>
      <c r="E17" s="53" t="inlineStr">
        <is>
          <t>Đơn giá
(VNĐ)</t>
        </is>
      </c>
      <c r="F17" s="53" t="inlineStr">
        <is>
          <t>Thành tiền
(VNĐ)</t>
        </is>
      </c>
      <c r="G17" s="53" t="inlineStr">
        <is>
          <t>Ghi chú</t>
        </is>
      </c>
    </row>
    <row r="18" ht="19.5" customHeight="1" s="42">
      <c r="A18" s="54">
        <f>IF(B18="","",COUNTA($B$18:B18))</f>
        <v/>
      </c>
      <c r="B18" s="55" t="inlineStr">
        <is>
          <t>Giấy in A4 Double A 70gsm</t>
        </is>
      </c>
      <c r="C18" s="54" t="inlineStr">
        <is>
          <t>Ram</t>
        </is>
      </c>
      <c r="D18" s="56" t="n">
        <v>50</v>
      </c>
      <c r="E18" s="57" t="n">
        <v>75000</v>
      </c>
      <c r="F18" s="57">
        <f>IF(OR(D18="",E18=""),"",D18*E18)</f>
        <v/>
      </c>
      <c r="G18" s="55" t="inlineStr">
        <is>
          <t>Hàng có sẵn</t>
        </is>
      </c>
    </row>
    <row r="19" ht="19.5" customHeight="1" s="42">
      <c r="A19" s="58">
        <f>IF(B19="","",COUNTA($B$18:B19))</f>
        <v/>
      </c>
      <c r="B19" s="59" t="inlineStr">
        <is>
          <t>Mực in HP 12A (chính hãng)</t>
        </is>
      </c>
      <c r="C19" s="58" t="inlineStr">
        <is>
          <t>Hộp</t>
        </is>
      </c>
      <c r="D19" s="60" t="n">
        <v>5</v>
      </c>
      <c r="E19" s="61" t="n">
        <v>1250000</v>
      </c>
      <c r="F19" s="61">
        <f>IF(OR(D19="",E19=""),"",D19*E19)</f>
        <v/>
      </c>
      <c r="G19" s="59" t="inlineStr">
        <is>
          <t>Bảo hành 12 tháng</t>
        </is>
      </c>
    </row>
    <row r="20" ht="19.5" customHeight="1" s="42">
      <c r="A20" s="54">
        <f>IF(B20="","",COUNTA($B$18:B20))</f>
        <v/>
      </c>
      <c r="B20" s="55" t="n"/>
      <c r="C20" s="54" t="n"/>
      <c r="D20" s="56" t="n"/>
      <c r="E20" s="57" t="n"/>
      <c r="F20" s="57">
        <f>IF(OR(D20="",E20=""),"",D20*E20)</f>
        <v/>
      </c>
      <c r="G20" s="55" t="n"/>
    </row>
    <row r="21" ht="19.5" customHeight="1" s="42">
      <c r="A21" s="58">
        <f>IF(B21="","",COUNTA($B$18:B21))</f>
        <v/>
      </c>
      <c r="B21" s="59" t="n"/>
      <c r="C21" s="58" t="n"/>
      <c r="D21" s="60" t="n"/>
      <c r="E21" s="61" t="n"/>
      <c r="F21" s="61">
        <f>IF(OR(D21="",E21=""),"",D21*E21)</f>
        <v/>
      </c>
      <c r="G21" s="59" t="n"/>
    </row>
    <row r="22" ht="19.5" customHeight="1" s="42">
      <c r="A22" s="54">
        <f>IF(B22="","",COUNTA($B$18:B22))</f>
        <v/>
      </c>
      <c r="B22" s="55" t="n"/>
      <c r="C22" s="54" t="n"/>
      <c r="D22" s="56" t="n"/>
      <c r="E22" s="57" t="n"/>
      <c r="F22" s="57">
        <f>IF(OR(D22="",E22=""),"",D22*E22)</f>
        <v/>
      </c>
      <c r="G22" s="55" t="n"/>
    </row>
    <row r="23" ht="19.5" customHeight="1" s="42">
      <c r="A23" s="58">
        <f>IF(B23="","",COUNTA($B$18:B23))</f>
        <v/>
      </c>
      <c r="B23" s="59" t="n"/>
      <c r="C23" s="58" t="n"/>
      <c r="D23" s="60" t="n"/>
      <c r="E23" s="61" t="n"/>
      <c r="F23" s="61">
        <f>IF(OR(D23="",E23=""),"",D23*E23)</f>
        <v/>
      </c>
      <c r="G23" s="59" t="n"/>
    </row>
    <row r="24" ht="19.5" customHeight="1" s="42">
      <c r="A24" s="54">
        <f>IF(B24="","",COUNTA($B$18:B24))</f>
        <v/>
      </c>
      <c r="B24" s="55" t="n"/>
      <c r="C24" s="54" t="n"/>
      <c r="D24" s="56" t="n"/>
      <c r="E24" s="57" t="n"/>
      <c r="F24" s="57">
        <f>IF(OR(D24="",E24=""),"",D24*E24)</f>
        <v/>
      </c>
      <c r="G24" s="55" t="n"/>
    </row>
    <row r="25" ht="19.5" customHeight="1" s="42">
      <c r="A25" s="58">
        <f>IF(B25="","",COUNTA($B$18:B25))</f>
        <v/>
      </c>
      <c r="B25" s="59" t="n"/>
      <c r="C25" s="58" t="n"/>
      <c r="D25" s="60" t="n"/>
      <c r="E25" s="61" t="n"/>
      <c r="F25" s="61">
        <f>IF(OR(D25="",E25=""),"",D25*E25)</f>
        <v/>
      </c>
      <c r="G25" s="59" t="n"/>
    </row>
    <row r="26" ht="19.5" customHeight="1" s="42">
      <c r="A26" s="54">
        <f>IF(B26="","",COUNTA($B$18:B26))</f>
        <v/>
      </c>
      <c r="B26" s="55" t="n"/>
      <c r="C26" s="54" t="n"/>
      <c r="D26" s="56" t="n"/>
      <c r="E26" s="57" t="n"/>
      <c r="F26" s="57">
        <f>IF(OR(D26="",E26=""),"",D26*E26)</f>
        <v/>
      </c>
      <c r="G26" s="55" t="n"/>
    </row>
    <row r="27" ht="19.5" customHeight="1" s="42">
      <c r="A27" s="58">
        <f>IF(B27="","",COUNTA($B$18:B27))</f>
        <v/>
      </c>
      <c r="B27" s="59" t="n"/>
      <c r="C27" s="58" t="n"/>
      <c r="D27" s="60" t="n"/>
      <c r="E27" s="61" t="n"/>
      <c r="F27" s="61">
        <f>IF(OR(D27="",E27=""),"",D27*E27)</f>
        <v/>
      </c>
      <c r="G27" s="59" t="n"/>
    </row>
    <row r="28" ht="19.5" customHeight="1" s="42">
      <c r="A28" s="54">
        <f>IF(B28="","",COUNTA($B$18:B28))</f>
        <v/>
      </c>
      <c r="B28" s="55" t="n"/>
      <c r="C28" s="54" t="n"/>
      <c r="D28" s="56" t="n"/>
      <c r="E28" s="57" t="n"/>
      <c r="F28" s="57">
        <f>IF(OR(D28="",E28=""),"",D28*E28)</f>
        <v/>
      </c>
      <c r="G28" s="55" t="n"/>
    </row>
    <row r="29" ht="19.5" customHeight="1" s="42">
      <c r="A29" s="58">
        <f>IF(B29="","",COUNTA($B$18:B29))</f>
        <v/>
      </c>
      <c r="B29" s="59" t="n"/>
      <c r="C29" s="58" t="n"/>
      <c r="D29" s="60" t="n"/>
      <c r="E29" s="61" t="n"/>
      <c r="F29" s="61">
        <f>IF(OR(D29="",E29=""),"",D29*E29)</f>
        <v/>
      </c>
      <c r="G29" s="59" t="n"/>
    </row>
    <row r="30" ht="21" customHeight="1" s="42">
      <c r="A30" s="62" t="inlineStr">
        <is>
          <t>Cộng tiền hàng</t>
        </is>
      </c>
      <c r="B30" s="63" t="n"/>
      <c r="C30" s="63" t="n"/>
      <c r="D30" s="64" t="n"/>
      <c r="E30" s="65" t="n"/>
      <c r="F30" s="66">
        <f>SUM(F18:F29)</f>
        <v/>
      </c>
      <c r="G30" s="65" t="n"/>
    </row>
    <row r="31" ht="21" customHeight="1" s="42">
      <c r="A31" s="62" t="inlineStr">
        <is>
          <t>Thuế GTGT (VAT) – thuế suất:</t>
        </is>
      </c>
      <c r="B31" s="63" t="n"/>
      <c r="C31" s="63" t="n"/>
      <c r="D31" s="64" t="n"/>
      <c r="E31" s="67" t="n">
        <v>0.1</v>
      </c>
      <c r="F31" s="66">
        <f>ROUND(F30*E31,0)</f>
        <v/>
      </c>
      <c r="G31" s="65" t="n"/>
    </row>
    <row r="32" ht="21" customHeight="1" s="42">
      <c r="A32" s="68" t="inlineStr">
        <is>
          <t>TỔNG CỘNG THANH TOÁN</t>
        </is>
      </c>
      <c r="B32" s="63" t="n"/>
      <c r="C32" s="63" t="n"/>
      <c r="D32" s="64" t="n"/>
      <c r="E32" s="69" t="n"/>
      <c r="F32" s="70">
        <f>F30+F31</f>
        <v/>
      </c>
      <c r="G32" s="69" t="n"/>
    </row>
    <row r="33" ht="30" customHeight="1" s="42">
      <c r="A33" s="71" t="inlineStr">
        <is>
          <t>Số tiền bằng chữ: Mười một triệu đồng chẵn.</t>
        </is>
      </c>
    </row>
    <row r="35" ht="15" customHeight="1" s="42">
      <c r="A35" s="72" t="inlineStr">
        <is>
          <t>ĐIỀU KHOẢN BÁO GIÁ</t>
        </is>
      </c>
    </row>
    <row r="36" ht="18" customHeight="1" s="42">
      <c r="A36" s="73" t="inlineStr">
        <is>
          <t>1. Đơn giá trên chưa bao gồm thuế GTGT; thuế GTGT được tính riêng như bảng trên.</t>
        </is>
      </c>
    </row>
    <row r="37" ht="18" customHeight="1" s="42">
      <c r="A37" s="73" t="inlineStr">
        <is>
          <t>2. Hiệu lực báo giá: 30 ngày kể từ ngày báo giá.</t>
        </is>
      </c>
    </row>
    <row r="38" ht="18" customHeight="1" s="42">
      <c r="A38" s="73" t="inlineStr">
        <is>
          <t>3. Thời gian giao hàng: trong vòng [03] ngày kể từ khi Quý khách xác nhận đặt hàng.</t>
        </is>
      </c>
    </row>
    <row r="39" ht="18" customHeight="1" s="42">
      <c r="A39" s="73" t="inlineStr">
        <is>
          <t>4. Địa điểm giao hàng: [tại kho của Quý khách / tại kho Công ty].</t>
        </is>
      </c>
    </row>
    <row r="40" ht="18" customHeight="1" s="42">
      <c r="A40" s="73" t="inlineStr">
        <is>
          <t>5. Thanh toán: [chuyển khoản / tiền mặt], [100% khi nhận hàng].</t>
        </is>
      </c>
    </row>
    <row r="41" ht="30" customHeight="1" s="42">
      <c r="A41" s="73">
        <f>"6. Tài khoản: "&amp;'Thông tin công ty'!$C$10&amp;" – "&amp;'Thông tin công ty'!$C$11&amp;" – Chủ tài khoản: CT TNHH KY THUAT CONG TRINH BLT"</f>
        <v/>
      </c>
    </row>
    <row r="43" ht="15" customHeight="1" s="42">
      <c r="A43" s="52" t="inlineStr">
        <is>
          <t>Rất mong nhận được sự hợp tác của Quý khách. Trân trọng!</t>
        </is>
      </c>
    </row>
    <row r="45" ht="15" customHeight="1" s="42">
      <c r="A45" s="74" t="inlineStr">
        <is>
          <t>KHÁCH HÀNG XÁC NHẬN</t>
        </is>
      </c>
      <c r="E45" s="74">
        <f>UPPER('Thông tin công ty'!$C$13)</f>
        <v/>
      </c>
    </row>
    <row r="46" ht="15" customHeight="1" s="42">
      <c r="A46" s="75" t="inlineStr">
        <is>
          <t>(Ký, ghi rõ họ tên)</t>
        </is>
      </c>
      <c r="E46" s="75" t="inlineStr">
        <is>
          <t>(Ký, đóng dấu, ghi rõ họ tên)</t>
        </is>
      </c>
    </row>
    <row r="51" ht="15" customHeight="1" s="42">
      <c r="E51" s="74">
        <f>'Thông tin công ty'!$C$12</f>
        <v/>
      </c>
    </row>
  </sheetData>
  <mergeCells count="31">
    <mergeCell ref="B2:G2"/>
    <mergeCell ref="F11:G11"/>
    <mergeCell ref="A8:G8"/>
    <mergeCell ref="A46:C46"/>
    <mergeCell ref="A35:G35"/>
    <mergeCell ref="B1:G1"/>
    <mergeCell ref="A38:G38"/>
    <mergeCell ref="A43:G43"/>
    <mergeCell ref="E46:G46"/>
    <mergeCell ref="F12:G12"/>
    <mergeCell ref="A31:D31"/>
    <mergeCell ref="A40:G40"/>
    <mergeCell ref="A32:D32"/>
    <mergeCell ref="C10:G10"/>
    <mergeCell ref="E45:G45"/>
    <mergeCell ref="A39:G39"/>
    <mergeCell ref="A30:D30"/>
    <mergeCell ref="A15:G15"/>
    <mergeCell ref="A36:G36"/>
    <mergeCell ref="C12:D12"/>
    <mergeCell ref="C11:D11"/>
    <mergeCell ref="B4:G4"/>
    <mergeCell ref="A7:G7"/>
    <mergeCell ref="F13:G13"/>
    <mergeCell ref="A41:G41"/>
    <mergeCell ref="A37:G37"/>
    <mergeCell ref="B3:G3"/>
    <mergeCell ref="A45:C45"/>
    <mergeCell ref="C13:D13"/>
    <mergeCell ref="A33:G33"/>
    <mergeCell ref="E51:G51"/>
  </mergeCells>
  <printOptions horizontalCentered="1" verticalCentered="0" headings="0" gridLines="0" gridLinesSet="1"/>
  <pageMargins left="0.5" right="0.4" top="0.5" bottom="0.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C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41" min="1" max="1"/>
    <col width="26" customWidth="1" style="41" min="2" max="2"/>
    <col width="70" customWidth="1" style="41" min="3" max="3"/>
  </cols>
  <sheetData>
    <row r="2" ht="16.15" customHeight="1" s="42">
      <c r="B2" s="76" t="inlineStr">
        <is>
          <t>THÔNG TIN CÔNG TY (điền 1 lần, bảng báo giá tự lấy theo)</t>
        </is>
      </c>
    </row>
    <row r="4" ht="19.5" customHeight="1" s="42">
      <c r="B4" s="77" t="inlineStr">
        <is>
          <t>Tên công ty</t>
        </is>
      </c>
      <c r="C4" s="78" t="inlineStr">
        <is>
          <t>CÔNG TY TNHH KỸ THUẬT CÔNG TRÌNH BLT</t>
        </is>
      </c>
    </row>
    <row r="5" ht="19.5" customHeight="1" s="42">
      <c r="B5" s="77" t="inlineStr">
        <is>
          <t>Địa chỉ</t>
        </is>
      </c>
      <c r="C5" s="78" t="inlineStr">
        <is>
          <t>Số 2A đường Nguyễn Khánh Toàn, khối Trường Phúc, phường Trường Vinh, tỉnh Nghệ An, Việt Nam</t>
        </is>
      </c>
    </row>
    <row r="6" ht="19.5" customHeight="1" s="42">
      <c r="B6" s="77" t="inlineStr">
        <is>
          <t>Mã số thuế</t>
        </is>
      </c>
      <c r="C6" s="78" t="inlineStr">
        <is>
          <t>2902269718</t>
        </is>
      </c>
    </row>
    <row r="7" ht="19.5" customHeight="1" s="42">
      <c r="B7" s="77" t="inlineStr">
        <is>
          <t>Điện thoại</t>
        </is>
      </c>
      <c r="C7" s="78" t="inlineStr">
        <is>
          <t>0984 586 089</t>
        </is>
      </c>
    </row>
    <row r="8" ht="19.5" customHeight="1" s="42">
      <c r="B8" s="77" t="inlineStr">
        <is>
          <t>Email</t>
        </is>
      </c>
      <c r="C8" s="78" t="inlineStr">
        <is>
          <t>hobinh150589@gmail.com</t>
        </is>
      </c>
    </row>
    <row r="9" ht="19.5" customHeight="1" s="42">
      <c r="B9" s="77" t="inlineStr">
        <is>
          <t>Website</t>
        </is>
      </c>
      <c r="C9" s="78" t="inlineStr"/>
    </row>
    <row r="10" ht="19.5" customHeight="1" s="42">
      <c r="B10" s="77" t="inlineStr">
        <is>
          <t>Số tài khoản</t>
        </is>
      </c>
      <c r="C10" s="78" t="inlineStr">
        <is>
          <t>1066217478</t>
        </is>
      </c>
    </row>
    <row r="11" ht="19.5" customHeight="1" s="42">
      <c r="B11" s="77" t="inlineStr">
        <is>
          <t>Ngân hàng</t>
        </is>
      </c>
      <c r="C11" s="78" t="inlineStr">
        <is>
          <t>Ngân hàng TMCP Ngoại thương Việt Nam (Vietcombank)</t>
        </is>
      </c>
    </row>
    <row r="12" ht="19.5" customHeight="1" s="42">
      <c r="B12" s="77" t="inlineStr">
        <is>
          <t>Người đại diện ký báo giá</t>
        </is>
      </c>
      <c r="C12" s="78" t="inlineStr">
        <is>
          <t>HỒ VĂN BÌNH</t>
        </is>
      </c>
    </row>
    <row r="13" ht="19.5" customHeight="1" s="42">
      <c r="B13" s="77" t="inlineStr">
        <is>
          <t>Chức vụ</t>
        </is>
      </c>
      <c r="C13" s="78" t="inlineStr">
        <is>
          <t>Giám đốc</t>
        </is>
      </c>
    </row>
    <row r="15" ht="15" customHeight="1" s="42">
      <c r="B15" s="79" t="inlineStr">
        <is>
          <t>Ô nền vàng là ô cần sửa. Thay phần trong ngoặc vuông [ ] bằng thông tin thật.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B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41" min="1" max="1"/>
    <col width="95" customWidth="1" style="41" min="2" max="2"/>
  </cols>
  <sheetData>
    <row r="2" ht="17.35" customHeight="1" s="42">
      <c r="B2" s="80" t="inlineStr">
        <is>
          <t>HƯỚNG DẪN SỬ DỤNG MẪU BÁO GIÁ</t>
        </is>
      </c>
    </row>
    <row r="3" ht="15" customHeight="1" s="42">
      <c r="B3" s="81" t="n"/>
    </row>
    <row r="4" ht="15" customHeight="1" s="42">
      <c r="B4" s="82" t="inlineStr">
        <is>
          <t>BƯỚC 1 – Điền thông tin công ty (chỉ làm 1 lần)</t>
        </is>
      </c>
    </row>
    <row r="5" ht="15" customHeight="1" s="42">
      <c r="B5" s="83" t="inlineStr">
        <is>
          <t>• Mở trang 'Thông tin công ty', sửa các ô nền vàng (địa chỉ, MST, điện thoại, tài khoản...).</t>
        </is>
      </c>
    </row>
    <row r="6" ht="15" customHeight="1" s="42">
      <c r="B6" s="83" t="inlineStr">
        <is>
          <t>• Phần đầu trang và cuối trang của bảng báo giá sẽ tự cập nhật theo.</t>
        </is>
      </c>
    </row>
    <row r="7" ht="15" customHeight="1" s="42">
      <c r="B7" s="81" t="n"/>
    </row>
    <row r="8" ht="15" customHeight="1" s="42">
      <c r="B8" s="82" t="inlineStr">
        <is>
          <t>BƯỚC 2 – Mỗi lần báo giá cho khách</t>
        </is>
      </c>
    </row>
    <row r="9" ht="15" customHeight="1" s="42">
      <c r="B9" s="83" t="inlineStr">
        <is>
          <t>• Trang 'Báo giá': sửa thông tin khách hàng (ô C10 đến G13), số báo giá (F12) và ngày (F13).</t>
        </is>
      </c>
    </row>
    <row r="10" ht="15" customHeight="1" s="42">
      <c r="B10" s="83" t="inlineStr">
        <is>
          <t>• Danh sách hàng: nhập Tên hàng (cột B), ĐVT (C), Số lượng (D), Đơn giá (E), Ghi chú (G) từ dòng 18 đến 29.</t>
        </is>
      </c>
    </row>
    <row r="11" ht="15" customHeight="1" s="42">
      <c r="B11" s="83" t="inlineStr">
        <is>
          <t>• Cột STT và Thành tiền TỰ ĐỘNG tính – không cần gõ. Tổng tiền, thuế GTGT cũng tự tính.</t>
        </is>
      </c>
    </row>
    <row r="12" ht="15" customHeight="1" s="42">
      <c r="B12" s="83" t="inlineStr">
        <is>
          <t>• Hai dòng đầu (Giấy in A4, Mực in HP 12A) chỉ là VÍ DỤ – hãy xóa và thay bằng hàng của bạn.</t>
        </is>
      </c>
    </row>
    <row r="13" ht="15" customHeight="1" s="42">
      <c r="B13" s="83" t="inlineStr">
        <is>
          <t>• Thuế suất GTGT ở ô E31 (mặc định 10%). Đổi thành 8% hoặc 0% nếu cần.</t>
        </is>
      </c>
    </row>
    <row r="14" ht="15" customHeight="1" s="42">
      <c r="B14" s="83" t="inlineStr">
        <is>
          <t>• Sửa dòng 'Số tiền bằng chữ' (ô A33) theo tổng cộng; sửa các điều khoản trong ngoặc [ ] cho phù hợp.</t>
        </is>
      </c>
    </row>
    <row r="15" ht="15" customHeight="1" s="42">
      <c r="B15" s="81" t="n"/>
    </row>
    <row r="16" ht="15" customHeight="1" s="42">
      <c r="B16" s="82" t="inlineStr">
        <is>
          <t>BƯỚC 3 – Thay logo</t>
        </is>
      </c>
    </row>
    <row r="17" ht="15" customHeight="1" s="42">
      <c r="B17" s="83" t="inlineStr">
        <is>
          <t>• Logo hiện tại là logo TẠM. Bấm vào logo trên trang 'Báo giá' → Delete, rồi Insert (Chèn) → Pictures (Ảnh) để chèn logo thật.</t>
        </is>
      </c>
    </row>
    <row r="18" ht="15" customHeight="1" s="42">
      <c r="B18" s="81" t="n"/>
    </row>
    <row r="19" ht="15" customHeight="1" s="42">
      <c r="B19" s="82" t="inlineStr">
        <is>
          <t>BƯỚC 4 – In / gửi khách</t>
        </is>
      </c>
    </row>
    <row r="20" ht="15" customHeight="1" s="42">
      <c r="B20" s="83" t="inlineStr">
        <is>
          <t>• File đã căn sẵn khổ A4 dọc, vừa 1 trang. Bấm File → Print, hoặc File → Save As → PDF để gửi qua Zalo/Email.</t>
        </is>
      </c>
    </row>
    <row r="21" ht="15" customHeight="1" s="42">
      <c r="B21" s="83" t="inlineStr">
        <is>
          <t>• Mẹo: trước mỗi lần báo giá mới, nên lưu thành file mới (Save As) để giữ lại mẫu gốc.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2026-10-01T23:05:03Z</dcterms:created>
  <dcterms:modified xmlns:dcterms="http://purl.org/dc/terms/" xmlns:xsi="http://www.w3.org/2001/XMLSchema-instance" xsi:type="dcterms:W3CDTF">2026-10-10T08:49:33Z</dcterms:modified>
  <cp:revision>0</cp:revision>
</cp:coreProperties>
</file>
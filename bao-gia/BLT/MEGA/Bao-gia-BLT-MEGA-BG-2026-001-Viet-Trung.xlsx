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áo giá" sheetId="1" state="visible" r:id="rId1"/>
    <sheet xmlns:r="http://schemas.openxmlformats.org/officeDocument/2006/relationships" name="Thông tin công ty" sheetId="2" state="visible" r:id="rId2"/>
    <sheet xmlns:r="http://schemas.openxmlformats.org/officeDocument/2006/relationships" name="Hướng dẫn" sheetId="3" state="visible" r:id="rId3"/>
  </sheets>
  <definedNames>
    <definedName name="_xlnm.Print_Titles" localSheetId="0">'Báo giá'!$17:$17</definedName>
    <definedName name="_xlnm.Print_Area" localSheetId="0">'Báo giá'!$A$1:$G$63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d/mm/yyyy"/>
    <numFmt numFmtId="165" formatCode="#,##0.##"/>
    <numFmt numFmtId="166"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4346E"/>
      <sz val="14"/>
    </font>
    <font>
      <name val="Arial"/>
      <charset val="1"/>
      <family val="0"/>
      <color rgb="FF000000"/>
      <sz val="10"/>
    </font>
    <font>
      <name val="Arial"/>
      <charset val="1"/>
      <family val="0"/>
      <b val="1"/>
      <color rgb="FF14346E"/>
      <sz val="20"/>
    </font>
    <font>
      <name val="Arial"/>
      <charset val="1"/>
      <family val="0"/>
      <i val="1"/>
      <color rgb="FF000000"/>
      <sz val="10"/>
    </font>
    <font>
      <name val="Arial"/>
      <charset val="1"/>
      <family val="0"/>
      <b val="1"/>
      <color rgb="FF000000"/>
      <sz val="11"/>
    </font>
    <font>
      <name val="Arial"/>
      <charset val="1"/>
      <family val="0"/>
      <color rgb="FF000000"/>
      <sz val="11"/>
    </font>
    <font>
      <name val="Arial"/>
      <charset val="1"/>
      <family val="0"/>
      <b val="1"/>
      <color rgb="FFFFFFFF"/>
      <sz val="10"/>
    </font>
    <font>
      <name val="Arial"/>
      <charset val="1"/>
      <family val="0"/>
      <b val="1"/>
      <color rgb="FF000000"/>
      <sz val="10"/>
    </font>
    <font>
      <name val="Arial"/>
      <charset val="1"/>
      <family val="0"/>
      <b val="1"/>
      <i val="1"/>
      <color rgb="FF000000"/>
      <sz val="10"/>
    </font>
    <font>
      <name val="Arial"/>
      <charset val="1"/>
      <family val="0"/>
      <b val="1"/>
      <color rgb="FF14346E"/>
      <sz val="11"/>
    </font>
    <font>
      <name val="Arial"/>
      <charset val="1"/>
      <family val="0"/>
      <i val="1"/>
      <color rgb="FF000000"/>
      <sz val="9"/>
    </font>
    <font>
      <name val="Arial"/>
      <charset val="1"/>
      <family val="0"/>
      <b val="1"/>
      <color rgb="FF14346E"/>
      <sz val="13"/>
    </font>
    <font>
      <name val="Arial"/>
      <charset val="1"/>
      <family val="0"/>
      <color rgb="FF0000FF"/>
      <sz val="11"/>
    </font>
    <font>
      <name val="Arial"/>
      <charset val="1"/>
      <family val="0"/>
      <i val="1"/>
      <color rgb="FF7F7F7F"/>
      <sz val="10"/>
    </font>
    <font>
      <name val="Arial"/>
      <charset val="1"/>
      <family val="0"/>
      <color rgb="FF000000"/>
      <sz val="8.9"/>
    </font>
  </fonts>
  <fills count="6">
    <fill>
      <patternFill/>
    </fill>
    <fill>
      <patternFill patternType="gray125"/>
    </fill>
    <fill>
      <patternFill patternType="solid">
        <fgColor rgb="FF14346E"/>
        <bgColor rgb="FF333399"/>
      </patternFill>
    </fill>
    <fill>
      <patternFill patternType="solid">
        <fgColor rgb="FFF3F6FB"/>
        <bgColor rgb="FFFFFFFF"/>
      </patternFill>
    </fill>
    <fill>
      <patternFill patternType="solid">
        <fgColor rgb="FFFCEFCF"/>
        <bgColor rgb="FFFFF2CC"/>
      </patternFill>
    </fill>
    <fill>
      <patternFill patternType="solid">
        <fgColor rgb="FFFFF2CC"/>
        <bgColor rgb="FFFCEFCF"/>
      </patternFill>
    </fill>
  </fills>
  <borders count="7">
    <border>
      <left/>
      <right/>
      <top/>
      <bottom/>
      <diagonal/>
    </border>
    <border>
      <left/>
      <right/>
      <top/>
      <bottom style="medium">
        <color rgb="FFD4A028"/>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0" fillId="0" borderId="1" applyAlignment="1" pivotButton="0" quotePrefix="0" xfId="0">
      <alignment horizontal="general" vertical="bottom"/>
    </xf>
    <xf numFmtId="0" fontId="6"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0" borderId="0" applyAlignment="1" pivotButton="0" quotePrefix="0" xfId="0">
      <alignment horizontal="right" vertical="center" inden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8" fillId="0" borderId="0" applyAlignment="1" pivotButton="0" quotePrefix="0" xfId="0">
      <alignment horizontal="left" vertical="center" wrapText="1"/>
    </xf>
    <xf numFmtId="164" fontId="9" fillId="0" borderId="0" applyAlignment="1" pivotButton="0" quotePrefix="0" xfId="0">
      <alignment horizontal="left" vertical="center" wrapText="1"/>
    </xf>
    <xf numFmtId="0" fontId="7" fillId="0" borderId="0" applyAlignment="1" pivotButton="0" quotePrefix="0" xfId="0">
      <alignment horizontal="left" vertical="center" wrapText="1"/>
    </xf>
    <xf numFmtId="0" fontId="10" fillId="2" borderId="2" applyAlignment="1" pivotButton="0" quotePrefix="0" xfId="0">
      <alignment horizontal="center" vertical="center" wrapText="1"/>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165" fontId="5" fillId="0" borderId="2" applyAlignment="1" pivotButton="0" quotePrefix="0" xfId="0">
      <alignment horizontal="right" vertical="center"/>
    </xf>
    <xf numFmtId="166" fontId="5" fillId="0" borderId="2" applyAlignment="1" pivotButton="0" quotePrefix="0" xfId="0">
      <alignment horizontal="right" vertical="center"/>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165" fontId="5" fillId="3" borderId="2" applyAlignment="1" pivotButton="0" quotePrefix="0" xfId="0">
      <alignment horizontal="right" vertical="center"/>
    </xf>
    <xf numFmtId="166" fontId="5" fillId="3" borderId="2" applyAlignment="1" pivotButton="0" quotePrefix="0" xfId="0">
      <alignment horizontal="right" vertical="center"/>
    </xf>
    <xf numFmtId="0" fontId="11" fillId="0" borderId="2" applyAlignment="1" pivotButton="0" quotePrefix="0" xfId="0">
      <alignment horizontal="right" vertical="center"/>
    </xf>
    <xf numFmtId="0" fontId="0" fillId="0" borderId="2" applyAlignment="1" pivotButton="0" quotePrefix="0" xfId="0">
      <alignment horizontal="general" vertical="bottom"/>
    </xf>
    <xf numFmtId="166" fontId="11" fillId="0" borderId="2" applyAlignment="1" pivotButton="0" quotePrefix="0" xfId="0">
      <alignment horizontal="right" vertical="center"/>
    </xf>
    <xf numFmtId="9" fontId="11" fillId="0" borderId="2" applyAlignment="1" pivotButton="0" quotePrefix="0" xfId="0">
      <alignment horizontal="center" vertical="center" wrapText="1"/>
    </xf>
    <xf numFmtId="0" fontId="8" fillId="4" borderId="2" applyAlignment="1" pivotButton="0" quotePrefix="0" xfId="0">
      <alignment horizontal="right" vertical="center"/>
    </xf>
    <xf numFmtId="0" fontId="0" fillId="4" borderId="2" applyAlignment="1" pivotButton="0" quotePrefix="0" xfId="0">
      <alignment horizontal="general" vertical="bottom"/>
    </xf>
    <xf numFmtId="166" fontId="8" fillId="4" borderId="2" applyAlignment="1" pivotButton="0" quotePrefix="0" xfId="0">
      <alignment horizontal="right" vertical="center"/>
    </xf>
    <xf numFmtId="0" fontId="12"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5" fillId="0" borderId="0" applyAlignment="1" pivotButton="0" quotePrefix="0" xfId="0">
      <alignment horizontal="left" vertical="center" wrapText="1"/>
    </xf>
    <xf numFmtId="0" fontId="8"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5" fillId="0" borderId="0" applyAlignment="1" pivotButton="0" quotePrefix="0" xfId="0">
      <alignment horizontal="general" vertical="bottom"/>
    </xf>
    <xf numFmtId="0" fontId="8" fillId="0" borderId="0" applyAlignment="1" pivotButton="0" quotePrefix="0" xfId="0">
      <alignment horizontal="general" vertical="bottom"/>
    </xf>
    <xf numFmtId="0" fontId="16" fillId="5" borderId="2" applyAlignment="1" pivotButton="0" quotePrefix="0" xfId="0">
      <alignment horizontal="left" vertical="center" wrapText="1"/>
    </xf>
    <xf numFmtId="0" fontId="17" fillId="0" borderId="0" applyAlignment="1" pivotButton="0" quotePrefix="0" xfId="0">
      <alignment horizontal="general" vertical="bottom"/>
    </xf>
    <xf numFmtId="0" fontId="4"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8" fillId="0" borderId="0" applyAlignment="1" pivotButton="0" quotePrefix="0" xfId="0">
      <alignment horizontal="general" vertical="center" wrapText="1"/>
    </xf>
    <xf numFmtId="0" fontId="5"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center" wrapText="1"/>
    </xf>
    <xf numFmtId="0" fontId="18" fillId="0" borderId="0" applyAlignment="1" pivotButton="0" quotePrefix="0" xfId="0">
      <alignment horizontal="center" vertical="center" wrapText="1"/>
    </xf>
    <xf numFmtId="0" fontId="0" fillId="0" borderId="1" applyAlignment="1" pivotButton="0" quotePrefix="0" xfId="0">
      <alignment horizontal="general" vertical="bottom"/>
    </xf>
    <xf numFmtId="0" fontId="6"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0" borderId="0" applyAlignment="1" pivotButton="0" quotePrefix="0" xfId="0">
      <alignment horizontal="right" vertical="center" wrapText="1" inden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164" fontId="9" fillId="0" borderId="0" applyAlignment="1" pivotButton="0" quotePrefix="0" xfId="0">
      <alignment horizontal="left" vertical="center" wrapText="1"/>
    </xf>
    <xf numFmtId="0" fontId="7" fillId="0" borderId="0" applyAlignment="1" pivotButton="0" quotePrefix="0" xfId="0">
      <alignment horizontal="left" vertical="center" wrapText="1"/>
    </xf>
    <xf numFmtId="0" fontId="10" fillId="2" borderId="2" applyAlignment="1" pivotButton="0" quotePrefix="0" xfId="0">
      <alignment horizontal="center" vertical="center" wrapText="1"/>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3" fontId="5" fillId="0" borderId="2" applyAlignment="1" pivotButton="0" quotePrefix="0" xfId="0">
      <alignment horizontal="right" vertical="center"/>
    </xf>
    <xf numFmtId="166" fontId="5" fillId="0" borderId="2" applyAlignment="1" pivotButton="0" quotePrefix="0" xfId="0">
      <alignment horizontal="right" vertical="center"/>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3" fontId="5" fillId="3" borderId="2" applyAlignment="1" pivotButton="0" quotePrefix="0" xfId="0">
      <alignment horizontal="right" vertical="center"/>
    </xf>
    <xf numFmtId="166" fontId="5" fillId="3" borderId="2" applyAlignment="1" pivotButton="0" quotePrefix="0" xfId="0">
      <alignment horizontal="right" vertical="center"/>
    </xf>
    <xf numFmtId="165" fontId="5" fillId="3" borderId="2" applyAlignment="1" pivotButton="0" quotePrefix="0" xfId="0">
      <alignment horizontal="right" vertical="center"/>
    </xf>
    <xf numFmtId="0" fontId="11" fillId="0" borderId="2" applyAlignment="1" pivotButton="0" quotePrefix="0" xfId="0">
      <alignment horizontal="right" vertical="center"/>
    </xf>
    <xf numFmtId="0" fontId="0" fillId="0" borderId="5" pivotButton="0" quotePrefix="0" xfId="0"/>
    <xf numFmtId="0" fontId="0" fillId="0" borderId="6" pivotButton="0" quotePrefix="0" xfId="0"/>
    <xf numFmtId="0" fontId="0" fillId="0" borderId="2" applyAlignment="1" pivotButton="0" quotePrefix="0" xfId="0">
      <alignment horizontal="general" vertical="bottom"/>
    </xf>
    <xf numFmtId="166" fontId="11" fillId="0" borderId="2" applyAlignment="1" pivotButton="0" quotePrefix="0" xfId="0">
      <alignment horizontal="right" vertical="center"/>
    </xf>
    <xf numFmtId="9" fontId="11" fillId="0" borderId="2" applyAlignment="1" pivotButton="0" quotePrefix="0" xfId="0">
      <alignment horizontal="center" vertical="center" wrapText="1"/>
    </xf>
    <xf numFmtId="0" fontId="8" fillId="4" borderId="2" applyAlignment="1" pivotButton="0" quotePrefix="0" xfId="0">
      <alignment horizontal="right" vertical="center"/>
    </xf>
    <xf numFmtId="0" fontId="0" fillId="4" borderId="2" applyAlignment="1" pivotButton="0" quotePrefix="0" xfId="0">
      <alignment horizontal="general" vertical="bottom"/>
    </xf>
    <xf numFmtId="166" fontId="8" fillId="4" borderId="2" applyAlignment="1" pivotButton="0" quotePrefix="0" xfId="0">
      <alignment horizontal="right" vertical="center"/>
    </xf>
    <xf numFmtId="0" fontId="12"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5" fillId="0" borderId="0" applyAlignment="1" pivotButton="0" quotePrefix="0" xfId="0">
      <alignment horizontal="left" vertical="center" wrapText="1"/>
    </xf>
    <xf numFmtId="0" fontId="8"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5" fillId="0" borderId="0" applyAlignment="1" pivotButton="0" quotePrefix="0" xfId="0">
      <alignment horizontal="general" vertical="bottom"/>
    </xf>
    <xf numFmtId="0" fontId="8" fillId="0" borderId="0" applyAlignment="1" pivotButton="0" quotePrefix="0" xfId="0">
      <alignment horizontal="general" vertical="bottom"/>
    </xf>
    <xf numFmtId="0" fontId="16" fillId="5" borderId="2" applyAlignment="1" pivotButton="0" quotePrefix="0" xfId="0">
      <alignment horizontal="left" vertical="center" wrapText="1"/>
    </xf>
    <xf numFmtId="0" fontId="17" fillId="0" borderId="0" applyAlignment="1" pivotButton="0" quotePrefix="0" xfId="0">
      <alignment horizontal="general" vertical="bottom"/>
    </xf>
    <xf numFmtId="0" fontId="4"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8" fillId="0" borderId="0" applyAlignment="1" pivotButton="0" quotePrefix="0" xfId="0">
      <alignment horizontal="general" vertical="center" wrapText="1"/>
    </xf>
    <xf numFmtId="0" fontId="5" fillId="0"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3F6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CEFCF"/>
      <rgbColor rgb="FF99CCFF"/>
      <rgbColor rgb="FFFF99CC"/>
      <rgbColor rgb="FFCC99FF"/>
      <rgbColor rgb="FFFFCC99"/>
      <rgbColor rgb="FF3366FF"/>
      <rgbColor rgb="FF33CCCC"/>
      <rgbColor rgb="FF99CC00"/>
      <rgbColor rgb="FFFFCC00"/>
      <rgbColor rgb="FFD4A028"/>
      <rgbColor rgb="FFFF6600"/>
      <rgbColor rgb="FF666699"/>
      <rgbColor rgb="FF7F7F7F"/>
      <rgbColor rgb="FF14346E"/>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19050</rowOff>
    </from>
    <ext cx="952500" cy="95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1"/>
  </sheetPr>
  <dimension ref="A1:G6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6" customWidth="1" style="41" min="1" max="1"/>
    <col width="40" customWidth="1" style="41" min="2" max="2"/>
    <col width="9" customWidth="1" style="41" min="3" max="3"/>
    <col width="10" customWidth="1" style="41" min="4" max="4"/>
    <col width="15" customWidth="1" style="41" min="5" max="5"/>
    <col width="17" customWidth="1" style="41" min="6" max="6"/>
    <col width="15" customWidth="1" style="41" min="7" max="7"/>
  </cols>
  <sheetData>
    <row r="1" ht="24" customHeight="1" s="42">
      <c r="B1" s="43">
        <f>'Thông tin công ty'!$C$4</f>
        <v/>
      </c>
    </row>
    <row r="2" ht="18" customHeight="1" s="42">
      <c r="B2" s="44">
        <f>"Địa chỉ / 地址: "&amp;'Thông tin công ty'!$C$5</f>
        <v/>
      </c>
    </row>
    <row r="3" ht="18" customHeight="1" s="42">
      <c r="B3" s="44">
        <f>"MST / 税号: "&amp;'Thông tin công ty'!$C$6&amp;"   |   Điện thoại / 电话: "&amp;'Thông tin công ty'!$C$7</f>
        <v/>
      </c>
    </row>
    <row r="4" ht="18" customHeight="1" s="42">
      <c r="B4" s="44">
        <f>"Email / 邮箱: "&amp;'Thông tin công ty'!$C$8</f>
        <v/>
      </c>
    </row>
    <row r="5" ht="7.5" customHeight="1" s="42">
      <c r="A5" s="45" t="n"/>
      <c r="B5" s="45" t="n"/>
      <c r="C5" s="45" t="n"/>
      <c r="D5" s="45" t="n"/>
      <c r="E5" s="45" t="n"/>
      <c r="F5" s="45" t="n"/>
      <c r="G5" s="45" t="n"/>
    </row>
    <row r="7" ht="31.5" customHeight="1" s="42">
      <c r="A7" s="46" t="inlineStr">
        <is>
          <t>BẢNG BÁO GIÁ / 报价单</t>
        </is>
      </c>
    </row>
    <row r="8" ht="15" customHeight="1" s="42">
      <c r="A8" s="47">
        <f>"Số / 编号: "&amp;F12&amp;"  –  Ngày / 日期: "&amp;TEXT(F13,"dd/mm/yyyy")</f>
        <v/>
      </c>
    </row>
    <row r="10" ht="27" customHeight="1" s="42">
      <c r="B10" s="48" t="inlineStr">
        <is>
          <t>Kính gửi / 致:</t>
        </is>
      </c>
      <c r="C10" s="49" t="inlineStr">
        <is>
          <t>CÔNG TY MEGA</t>
        </is>
      </c>
    </row>
    <row r="11" ht="27" customHeight="1" s="42">
      <c r="B11" s="48" t="inlineStr">
        <is>
          <t>Người liên hệ / 联系人:</t>
        </is>
      </c>
      <c r="C11" s="50" t="inlineStr"/>
      <c r="E11" s="49" t="inlineStr">
        <is>
          <t>Điện thoại
电话:</t>
        </is>
      </c>
      <c r="F11" s="50" t="inlineStr"/>
    </row>
    <row r="12" ht="27" customHeight="1" s="42">
      <c r="B12" s="48" t="inlineStr">
        <is>
          <t>Địa chỉ / 地址:</t>
        </is>
      </c>
      <c r="C12" s="50" t="inlineStr"/>
      <c r="E12" s="49" t="inlineStr">
        <is>
          <t>Số báo giá
报价编号:</t>
        </is>
      </c>
      <c r="F12" s="50" t="inlineStr">
        <is>
          <t>BG-2026/001</t>
        </is>
      </c>
    </row>
    <row r="13" ht="27" customHeight="1" s="42">
      <c r="B13" s="48" t="inlineStr">
        <is>
          <t>Email / 邮箱:</t>
        </is>
      </c>
      <c r="C13" s="50" t="inlineStr"/>
      <c r="E13" s="49" t="inlineStr">
        <is>
          <t>Ngày báo giá
报价日期:</t>
        </is>
      </c>
      <c r="F13" s="51" t="n">
        <v>46305</v>
      </c>
    </row>
    <row r="15" ht="45" customHeight="1" s="42">
      <c r="A15" s="52" t="inlineStr">
        <is>
          <t>CÔNG TY TNHH KỸ THUẬT CÔNG TRÌNH BLT trân trọng cảm ơn Quý khách đã quan tâm. Chúng tôi xin gửi tới Quý khách bảng báo giá hạng mục Hệ thống điện điều hòa – Công trình lắp đặt điều hòa không khí MS1 tầng 1 &amp; BP2, dự án MEGA giai đoạn 1 như sau:
我司衷心感谢贵方的关注，现将MEGA一期MS1一楼&amp;BP2空调安装工程——空调电气系统部分报价如下：</t>
        </is>
      </c>
    </row>
    <row r="17" ht="34" customHeight="1" s="42">
      <c r="A17" s="53" t="inlineStr">
        <is>
          <t>STT
序号</t>
        </is>
      </c>
      <c r="B17" s="53" t="inlineStr">
        <is>
          <t>Tên hàng hóa / Quy cách
货物名称 / 规格</t>
        </is>
      </c>
      <c r="C17" s="53" t="inlineStr">
        <is>
          <t>ĐVT
单位</t>
        </is>
      </c>
      <c r="D17" s="53" t="inlineStr">
        <is>
          <t>Số lượng
数量</t>
        </is>
      </c>
      <c r="E17" s="53" t="inlineStr">
        <is>
          <t>Đơn giá (VNĐ)
单价(越南盾)</t>
        </is>
      </c>
      <c r="F17" s="53" t="inlineStr">
        <is>
          <t>Thành tiền (VNĐ)
金额(越南盾)</t>
        </is>
      </c>
      <c r="G17" s="53" t="inlineStr">
        <is>
          <t>Ghi chú
备注</t>
        </is>
      </c>
    </row>
    <row r="18" ht="63.5" customHeight="1" s="42">
      <c r="A18" s="54">
        <f>IF(B18="","",COUNTA($B$18:B18))</f>
        <v/>
      </c>
      <c r="B18" s="55" t="inlineStr">
        <is>
          <t>Tủ đồng hồ điện thông minh (gồm đồng hồ điện đa năng, biến dòng, cầu đấu dây; lắp treo tường)
智能电表箱（含多功能电表、互感器、接线端子等；悬挂式）</t>
        </is>
      </c>
      <c r="C18" s="54" t="inlineStr">
        <is>
          <t>Tủ
台</t>
        </is>
      </c>
      <c r="D18" s="56" t="n">
        <v>3</v>
      </c>
      <c r="E18" s="57" t="n">
        <v>7700000</v>
      </c>
      <c r="F18" s="57">
        <f>IF(OR(D18="",E18=""),"",D18*E18)</f>
        <v/>
      </c>
      <c r="G18" s="55" t="inlineStr">
        <is>
          <t>Acrel</t>
        </is>
      </c>
    </row>
    <row r="19" ht="52" customHeight="1" s="42">
      <c r="A19" s="58">
        <f>IF(B19="","",COUNTA($B$18:B19))</f>
        <v/>
      </c>
      <c r="B19" s="59" t="inlineStr">
        <is>
          <t>Tủ điều khiển biến tần bơm nước lạnh ACPL-01 (tủ kiểu Rittal 1800×1000×800, đặt sàn)
冷冻水泵变频控制柜 ACPL-01（仿威图机柜1800×1000×800，落地式）</t>
        </is>
      </c>
      <c r="C19" s="58" t="inlineStr">
        <is>
          <t>Tủ
台</t>
        </is>
      </c>
      <c r="D19" s="60" t="n">
        <v>1</v>
      </c>
      <c r="E19" s="61" t="n">
        <v>220000000</v>
      </c>
      <c r="F19" s="61">
        <f>IF(OR(D19="",E19=""),"",D19*E19)</f>
        <v/>
      </c>
      <c r="G19" s="59" t="inlineStr">
        <is>
          <t>ABB, Schneider; Acrel</t>
        </is>
      </c>
    </row>
    <row r="20" ht="52" customHeight="1" s="42">
      <c r="A20" s="54">
        <f>IF(B20="","",COUNTA($B$18:B20))</f>
        <v/>
      </c>
      <c r="B20" s="55" t="inlineStr">
        <is>
          <t>Tủ điều khiển biến tần bơm nước lạnh ACPL-02 (tủ kiểu Rittal 1800×1000×800, đặt sàn)
冷冻水泵变频控制柜 ACPL-02（仿威图机柜1800×1000×800，落地式）</t>
        </is>
      </c>
      <c r="C20" s="54" t="inlineStr">
        <is>
          <t>Tủ
台</t>
        </is>
      </c>
      <c r="D20" s="56" t="n">
        <v>1</v>
      </c>
      <c r="E20" s="57" t="n">
        <v>220000000</v>
      </c>
      <c r="F20" s="57">
        <f>IF(OR(D20="",E20=""),"",D20*E20)</f>
        <v/>
      </c>
      <c r="G20" s="55" t="inlineStr">
        <is>
          <t>ABB, Schneider; Acrel</t>
        </is>
      </c>
    </row>
    <row r="21" ht="63.5" customHeight="1" s="42">
      <c r="A21" s="58">
        <f>IF(B21="","",COUNTA($B$18:B21))</f>
        <v/>
      </c>
      <c r="B21" s="59" t="inlineStr">
        <is>
          <t>Tủ điều khiển biến tần bơm nước giải nhiệt ACPL-03 (tủ kiểu Rittal 1800×1000×800, đặt sàn)
冷却水泵变频控制柜 ACPL-03（仿威图机柜1800×1000×800，落地式）</t>
        </is>
      </c>
      <c r="C21" s="58" t="inlineStr">
        <is>
          <t>Tủ
台</t>
        </is>
      </c>
      <c r="D21" s="60" t="n">
        <v>1</v>
      </c>
      <c r="E21" s="61" t="n">
        <v>220000000</v>
      </c>
      <c r="F21" s="61">
        <f>IF(OR(D21="",E21=""),"",D21*E21)</f>
        <v/>
      </c>
      <c r="G21" s="59" t="inlineStr">
        <is>
          <t>ABB, Schneider; Acrel</t>
        </is>
      </c>
    </row>
    <row r="22" ht="63.5" customHeight="1" s="42">
      <c r="A22" s="54">
        <f>IF(B22="","",COUNTA($B$18:B22))</f>
        <v/>
      </c>
      <c r="B22" s="55" t="inlineStr">
        <is>
          <t>Tủ điều khiển biến tần bơm nước giải nhiệt ACPL-04 (tủ kiểu Rittal 1800×1000×800, đặt sàn)
冷却水泵变频控制柜 ACPL-04（仿威图机柜1800×1000×800，落地式）</t>
        </is>
      </c>
      <c r="C22" s="54" t="inlineStr">
        <is>
          <t>Tủ
台</t>
        </is>
      </c>
      <c r="D22" s="56" t="n">
        <v>1</v>
      </c>
      <c r="E22" s="57" t="n">
        <v>203500000</v>
      </c>
      <c r="F22" s="57">
        <f>IF(OR(D22="",E22=""),"",D22*E22)</f>
        <v/>
      </c>
      <c r="G22" s="55" t="inlineStr">
        <is>
          <t>ABB, Schneider; Acrel</t>
        </is>
      </c>
    </row>
    <row r="23" ht="63.5" customHeight="1" s="42">
      <c r="A23" s="58">
        <f>IF(B23="","",COUNTA($B$18:B23))</f>
        <v/>
      </c>
      <c r="B23" s="59" t="inlineStr">
        <is>
          <t>Tủ điều khiển biến tần tháp giải nhiệt ACPL-05 (tủ kiểu Rittal 1800×1200×800, đặt sàn)
冷却塔变频控制柜 ACPL-05（仿威图机柜1800×1200×800，落地式）</t>
        </is>
      </c>
      <c r="C23" s="58" t="inlineStr">
        <is>
          <t>Tủ
台</t>
        </is>
      </c>
      <c r="D23" s="60" t="n">
        <v>1</v>
      </c>
      <c r="E23" s="61" t="n">
        <v>181500000</v>
      </c>
      <c r="F23" s="61">
        <f>IF(OR(D23="",E23=""),"",D23*E23)</f>
        <v/>
      </c>
      <c r="G23" s="59" t="inlineStr">
        <is>
          <t>ABB, Schneider; Acrel</t>
        </is>
      </c>
    </row>
    <row r="24" ht="63.5" customHeight="1" s="42">
      <c r="A24" s="54">
        <f>IF(B24="","",COUNTA($B$18:B24))</f>
        <v/>
      </c>
      <c r="B24" s="55" t="inlineStr">
        <is>
          <t>Tủ điều khiển biến tần tháp giải nhiệt ACPL-06 (tủ kiểu Rittal 1800×800×800, đặt sàn)
冷却塔变频控制柜 ACPL-06（仿威图机柜1800×800×800，落地式）</t>
        </is>
      </c>
      <c r="C24" s="54" t="inlineStr">
        <is>
          <t>Tủ
台</t>
        </is>
      </c>
      <c r="D24" s="56" t="n">
        <v>1</v>
      </c>
      <c r="E24" s="57" t="n">
        <v>165000000</v>
      </c>
      <c r="F24" s="57">
        <f>IF(OR(D24="",E24=""),"",D24*E24)</f>
        <v/>
      </c>
      <c r="G24" s="55" t="inlineStr">
        <is>
          <t>ABB, Schneider; Acrel</t>
        </is>
      </c>
    </row>
    <row r="25" ht="52" customHeight="1" s="42">
      <c r="A25" s="58">
        <f>IF(B25="","",COUNTA($B$18:B25))</f>
        <v/>
      </c>
      <c r="B25" s="59" t="inlineStr">
        <is>
          <t>Tủ điều khiển van điện ACPL-07 (tủ kiểu Rittal 1800×800×800, đặt sàn)
电动阀门控制柜 ACPL-07（仿威图机柜1800×800×800，落地式）</t>
        </is>
      </c>
      <c r="C25" s="58" t="inlineStr">
        <is>
          <t>Tủ
台</t>
        </is>
      </c>
      <c r="D25" s="60" t="n">
        <v>1</v>
      </c>
      <c r="E25" s="61" t="n">
        <v>154000000</v>
      </c>
      <c r="F25" s="61">
        <f>IF(OR(D25="",E25=""),"",D25*E25)</f>
        <v/>
      </c>
      <c r="G25" s="59" t="inlineStr">
        <is>
          <t>ABB, Schneider; Acrel</t>
        </is>
      </c>
    </row>
    <row r="26" ht="40.5" customHeight="1" s="42">
      <c r="A26" s="54">
        <f>IF(B26="","",COUNTA($B$18:B26))</f>
        <v/>
      </c>
      <c r="B26" s="55" t="inlineStr">
        <is>
          <t>Cáp điện động lực lõi đồng YJV-3×70+1×35
电力电缆 铜芯 YJV-3×70+1×35</t>
        </is>
      </c>
      <c r="C26" s="54" t="inlineStr">
        <is>
          <t>m
米</t>
        </is>
      </c>
      <c r="D26" s="56" t="n">
        <v>129</v>
      </c>
      <c r="E26" s="57" t="n">
        <v>1650000</v>
      </c>
      <c r="F26" s="57">
        <f>IF(OR(D26="",E26=""),"",D26*E26)</f>
        <v/>
      </c>
      <c r="G26" s="55" t="inlineStr">
        <is>
          <t>Chengtiantai, Nanyang, LS, Taya</t>
        </is>
      </c>
    </row>
    <row r="27" ht="40.5" customHeight="1" s="42">
      <c r="A27" s="58">
        <f>IF(B27="","",COUNTA($B$18:B27))</f>
        <v/>
      </c>
      <c r="B27" s="59" t="inlineStr">
        <is>
          <t>Cáp điện động lực lõi đồng YJV-3×50+1×25
电力电缆 铜芯 YJV-3×50+1×25</t>
        </is>
      </c>
      <c r="C27" s="58" t="inlineStr">
        <is>
          <t>m
米</t>
        </is>
      </c>
      <c r="D27" s="60" t="n">
        <v>213</v>
      </c>
      <c r="E27" s="61" t="n">
        <v>1210000</v>
      </c>
      <c r="F27" s="61">
        <f>IF(OR(D27="",E27=""),"",D27*E27)</f>
        <v/>
      </c>
      <c r="G27" s="59" t="inlineStr">
        <is>
          <t>Chengtiantai, Nanyang, LS, Taya</t>
        </is>
      </c>
    </row>
    <row r="28" ht="40.5" customHeight="1" s="42">
      <c r="A28" s="54">
        <f>IF(B28="","",COUNTA($B$18:B28))</f>
        <v/>
      </c>
      <c r="B28" s="55" t="inlineStr">
        <is>
          <t>Cáp điện động lực lõi đồng YJV-3×10+1×6
电力电缆 铜芯 YJV-3×10+1×6</t>
        </is>
      </c>
      <c r="C28" s="54" t="inlineStr">
        <is>
          <t>m
米</t>
        </is>
      </c>
      <c r="D28" s="56" t="n">
        <v>542</v>
      </c>
      <c r="E28" s="57" t="n">
        <v>462000</v>
      </c>
      <c r="F28" s="57">
        <f>IF(OR(D28="",E28=""),"",D28*E28)</f>
        <v/>
      </c>
      <c r="G28" s="55" t="inlineStr">
        <is>
          <t>Chengtiantai, Nanyang, LS, Taya</t>
        </is>
      </c>
    </row>
    <row r="29" ht="40.5" customHeight="1" s="42">
      <c r="A29" s="58">
        <f>IF(B29="","",COUNTA($B$18:B29))</f>
        <v/>
      </c>
      <c r="B29" s="59" t="inlineStr">
        <is>
          <t>Cáp điện động lực lõi đồng YJV-5×2.5
电力电缆 铜芯 YJV-5×2.5</t>
        </is>
      </c>
      <c r="C29" s="58" t="inlineStr">
        <is>
          <t>m
米</t>
        </is>
      </c>
      <c r="D29" s="60" t="n">
        <v>58</v>
      </c>
      <c r="E29" s="61" t="n">
        <v>374000</v>
      </c>
      <c r="F29" s="61">
        <f>IF(OR(D29="",E29=""),"",D29*E29)</f>
        <v/>
      </c>
      <c r="G29" s="59" t="inlineStr">
        <is>
          <t>Chengtiantai, Nanyang, LS, Taya</t>
        </is>
      </c>
    </row>
    <row r="30" ht="40.5" customHeight="1" s="42">
      <c r="A30" s="58">
        <f>IF(B30="","",COUNTA($B$18:B30))</f>
        <v/>
      </c>
      <c r="B30" s="59" t="inlineStr">
        <is>
          <t>Cáp điện động lực lõi đồng YJV-4×2.5
电力电缆 铜芯 YJV-4×2.5</t>
        </is>
      </c>
      <c r="C30" s="58" t="inlineStr">
        <is>
          <t>m
米</t>
        </is>
      </c>
      <c r="D30" s="60" t="n">
        <v>884</v>
      </c>
      <c r="E30" s="61" t="n">
        <v>297000</v>
      </c>
      <c r="F30" s="61">
        <f>IF(OR(D30="",E30=""),"",D30*E30)</f>
        <v/>
      </c>
      <c r="G30" s="59" t="inlineStr">
        <is>
          <t>Chengtiantai, Nanyang, LS, Taya</t>
        </is>
      </c>
    </row>
    <row r="31" ht="40.5" customHeight="1" s="42">
      <c r="A31" s="58">
        <f>IF(B31="","",COUNTA($B$18:B31))</f>
        <v/>
      </c>
      <c r="B31" s="59" t="inlineStr">
        <is>
          <t>Cáp điện động lực lõi đồng YJV-3×2.5
电力电缆 铜芯 YJV-3×2.5</t>
        </is>
      </c>
      <c r="C31" s="58" t="inlineStr">
        <is>
          <t>m
米</t>
        </is>
      </c>
      <c r="D31" s="60" t="n">
        <v>87</v>
      </c>
      <c r="E31" s="61" t="n">
        <v>231000</v>
      </c>
      <c r="F31" s="61">
        <f>IF(OR(D31="",E31=""),"",D31*E31)</f>
        <v/>
      </c>
      <c r="G31" s="59" t="inlineStr">
        <is>
          <t>Chengtiantai, Nanyang, LS, Taya</t>
        </is>
      </c>
    </row>
    <row r="32" ht="40.5" customHeight="1" s="42">
      <c r="A32" s="58">
        <f>IF(B32="","",COUNTA($B$18:B32))</f>
        <v/>
      </c>
      <c r="B32" s="59" t="inlineStr">
        <is>
          <t>Cáp điều khiển lõi đồng RVV-3×1.0
控制线缆 铜芯 RVV-3×1.0</t>
        </is>
      </c>
      <c r="C32" s="58" t="inlineStr">
        <is>
          <t>m
米</t>
        </is>
      </c>
      <c r="D32" s="60" t="n">
        <v>1031</v>
      </c>
      <c r="E32" s="61" t="n">
        <v>165000</v>
      </c>
      <c r="F32" s="61">
        <f>IF(OR(D32="",E32=""),"",D32*E32)</f>
        <v/>
      </c>
      <c r="G32" s="59" t="inlineStr">
        <is>
          <t>Chengtiantai, Nanyang, LS, Taya</t>
        </is>
      </c>
    </row>
    <row r="33" ht="40.5" customHeight="1" s="42">
      <c r="A33" s="58">
        <f>IF(B33="","",COUNTA($B$18:B33))</f>
        <v/>
      </c>
      <c r="B33" s="59" t="inlineStr">
        <is>
          <t>Máng cáp thép mạ kẽm 800×200×1.5mm (gồm phụ kiện)
镀锌线槽 800×200×1.5mm（镀锌钢板，含配件）</t>
        </is>
      </c>
      <c r="C33" s="58" t="inlineStr">
        <is>
          <t>m
米</t>
        </is>
      </c>
      <c r="D33" s="60" t="n">
        <v>10</v>
      </c>
      <c r="E33" s="61" t="n">
        <v>1518000</v>
      </c>
      <c r="F33" s="61">
        <f>IF(OR(D33="",E33=""),"",D33*E33)</f>
        <v/>
      </c>
      <c r="G33" s="59" t="inlineStr">
        <is>
          <t>Hàng trong nước
国产优质</t>
        </is>
      </c>
    </row>
    <row r="34" ht="40.5" customHeight="1" s="42">
      <c r="A34" s="58">
        <f>IF(B34="","",COUNTA($B$18:B34))</f>
        <v/>
      </c>
      <c r="B34" s="59" t="inlineStr">
        <is>
          <t>Máng cáp thép mạ kẽm 400×200×1.2mm (gồm phụ kiện)
镀锌线槽 400×200×1.2mm（镀锌钢板，含配件）</t>
        </is>
      </c>
      <c r="C34" s="58" t="inlineStr">
        <is>
          <t>m
米</t>
        </is>
      </c>
      <c r="D34" s="60" t="n">
        <v>18</v>
      </c>
      <c r="E34" s="61" t="n">
        <v>1320000</v>
      </c>
      <c r="F34" s="61">
        <f>IF(OR(D34="",E34=""),"",D34*E34)</f>
        <v/>
      </c>
      <c r="G34" s="59" t="inlineStr">
        <is>
          <t>Hàng trong nước
国产优质</t>
        </is>
      </c>
    </row>
    <row r="35" ht="40.5" customHeight="1" s="42">
      <c r="A35" s="58">
        <f>IF(B35="","",COUNTA($B$18:B35))</f>
        <v/>
      </c>
      <c r="B35" s="59" t="inlineStr">
        <is>
          <t>Máng cáp thép mạ kẽm 300×150×1.2mm (gồm phụ kiện)
镀锌线槽 300×150×1.2mm（镀锌钢板，含配件）</t>
        </is>
      </c>
      <c r="C35" s="58" t="inlineStr">
        <is>
          <t>m
米</t>
        </is>
      </c>
      <c r="D35" s="60" t="n">
        <v>52</v>
      </c>
      <c r="E35" s="61" t="n">
        <v>880000</v>
      </c>
      <c r="F35" s="61">
        <f>IF(OR(D35="",E35=""),"",D35*E35)</f>
        <v/>
      </c>
      <c r="G35" s="59" t="inlineStr">
        <is>
          <t>Hàng trong nước
国产优质</t>
        </is>
      </c>
    </row>
    <row r="36" ht="40.5" customHeight="1" s="42">
      <c r="A36" s="58">
        <f>IF(B36="","",COUNTA($B$18:B36))</f>
        <v/>
      </c>
      <c r="B36" s="59" t="inlineStr">
        <is>
          <t>Máng cáp thép mạ kẽm 200×100×1.0mm (gồm phụ kiện)
镀锌线槽 200×100×1.0mm（镀锌钢板，含配件）</t>
        </is>
      </c>
      <c r="C36" s="58" t="inlineStr">
        <is>
          <t>m
米</t>
        </is>
      </c>
      <c r="D36" s="60" t="n">
        <v>42</v>
      </c>
      <c r="E36" s="61" t="n">
        <v>550000</v>
      </c>
      <c r="F36" s="61">
        <f>IF(OR(D36="",E36=""),"",D36*E36)</f>
        <v/>
      </c>
      <c r="G36" s="59" t="inlineStr">
        <is>
          <t>Hàng trong nước
国产优质</t>
        </is>
      </c>
    </row>
    <row r="37" ht="40.5" customHeight="1" s="42">
      <c r="A37" s="58">
        <f>IF(B37="","",COUNTA($B$18:B37))</f>
        <v/>
      </c>
      <c r="B37" s="59" t="inlineStr">
        <is>
          <t>Máng cáp thép mạ kẽm 150×100×1.0mm (gồm phụ kiện)
镀锌线槽 150×100×1.0mm（镀锌钢板，含配件）</t>
        </is>
      </c>
      <c r="C37" s="58" t="inlineStr">
        <is>
          <t>m
米</t>
        </is>
      </c>
      <c r="D37" s="60" t="n">
        <v>34</v>
      </c>
      <c r="E37" s="61" t="n">
        <v>517000</v>
      </c>
      <c r="F37" s="61">
        <f>IF(OR(D37="",E37=""),"",D37*E37)</f>
        <v/>
      </c>
      <c r="G37" s="59" t="inlineStr">
        <is>
          <t>Hàng trong nước
国产优质</t>
        </is>
      </c>
    </row>
    <row r="38" ht="40.5" customHeight="1" s="42">
      <c r="A38" s="58">
        <f>IF(B38="","",COUNTA($B$18:B38))</f>
        <v/>
      </c>
      <c r="B38" s="59" t="inlineStr">
        <is>
          <t>Ống luồn dây điện PVC cứng U-PVC Φ25 (gồm phụ kiện)
PVC线管 U-PVC硬管 Φ25（含配件）</t>
        </is>
      </c>
      <c r="C38" s="58" t="inlineStr">
        <is>
          <t>m
米</t>
        </is>
      </c>
      <c r="D38" s="60" t="n">
        <v>104</v>
      </c>
      <c r="E38" s="61" t="n">
        <v>198000</v>
      </c>
      <c r="F38" s="61">
        <f>IF(OR(D38="",E38=""),"",D38*E38)</f>
        <v/>
      </c>
      <c r="G38" s="59" t="inlineStr">
        <is>
          <t>Lesso, Rifeng</t>
        </is>
      </c>
    </row>
    <row r="39" ht="40.5" customHeight="1" s="42">
      <c r="A39" s="58">
        <f>IF(B39="","",COUNTA($B$18:B39))</f>
        <v/>
      </c>
      <c r="B39" s="59" t="inlineStr">
        <is>
          <t>Giá treo đỡ máng cáp, ống luồn dây (thép góc, ty ren)
线槽、线管支吊架（角钢、丝杆）</t>
        </is>
      </c>
      <c r="C39" s="58" t="inlineStr">
        <is>
          <t>kg
千克</t>
        </is>
      </c>
      <c r="D39" s="62" t="n">
        <v>610.7</v>
      </c>
      <c r="E39" s="61" t="n">
        <v>275000</v>
      </c>
      <c r="F39" s="61">
        <f>IF(OR(D39="",E39=""),"",D39*E39)</f>
        <v/>
      </c>
      <c r="G39" s="59" t="inlineStr">
        <is>
          <t>Tiêu chuẩn GB
国标</t>
        </is>
      </c>
    </row>
    <row r="40" ht="40.5" customHeight="1" s="42">
      <c r="A40" s="58">
        <f>IF(B40="","",COUNTA($B$18:B40))</f>
        <v/>
      </c>
      <c r="B40" s="59" t="inlineStr">
        <is>
          <t>Vật tư phụ lắp đặt (đầu cos, dây rút, băng keo điện...)
安装辅材（线耳、扎带、电工胶布等）</t>
        </is>
      </c>
      <c r="C40" s="58" t="inlineStr">
        <is>
          <t>Gói
项</t>
        </is>
      </c>
      <c r="D40" s="60" t="n">
        <v>1</v>
      </c>
      <c r="E40" s="61" t="n">
        <v>110000000</v>
      </c>
      <c r="F40" s="61">
        <f>IF(OR(D40="",E40=""),"",D40*E40)</f>
        <v/>
      </c>
      <c r="G40" s="59" t="inlineStr"/>
    </row>
    <row r="41" ht="29" customHeight="1" s="42">
      <c r="A41" s="58">
        <f>IF(B41="","",COUNTA($B$18:B41))</f>
        <v/>
      </c>
      <c r="B41" s="59" t="inlineStr">
        <is>
          <t>Đấu nối dây cụm máy làm lạnh nước (chiller)
冷水机组接线</t>
        </is>
      </c>
      <c r="C41" s="58" t="inlineStr">
        <is>
          <t>Máy
台</t>
        </is>
      </c>
      <c r="D41" s="60" t="n">
        <v>3</v>
      </c>
      <c r="E41" s="61" t="n">
        <v>22000000</v>
      </c>
      <c r="F41" s="61">
        <f>IF(OR(D41="",E41=""),"",D41*E41)</f>
        <v/>
      </c>
      <c r="G41" s="59" t="inlineStr"/>
    </row>
    <row r="42" ht="21" customHeight="1" s="42">
      <c r="A42" s="63" t="inlineStr">
        <is>
          <t>Cộng tiền hàng / 货款合计</t>
        </is>
      </c>
      <c r="B42" s="64" t="n"/>
      <c r="C42" s="64" t="n"/>
      <c r="D42" s="65" t="n"/>
      <c r="E42" s="66" t="n"/>
      <c r="F42" s="67">
        <f>SUM(F18:F41)</f>
        <v/>
      </c>
      <c r="G42" s="66" t="n"/>
    </row>
    <row r="43" ht="21" customHeight="1" s="42">
      <c r="A43" s="63" t="inlineStr">
        <is>
          <t>Thuế GTGT (VAT) – thuế suất / 增值税税率:</t>
        </is>
      </c>
      <c r="B43" s="64" t="n"/>
      <c r="C43" s="64" t="n"/>
      <c r="D43" s="65" t="n"/>
      <c r="E43" s="68" t="n">
        <v>0.1</v>
      </c>
      <c r="F43" s="67">
        <f>ROUND(F42*E43,0)</f>
        <v/>
      </c>
      <c r="G43" s="66" t="n"/>
    </row>
    <row r="44" ht="21" customHeight="1" s="42">
      <c r="A44" s="69" t="inlineStr">
        <is>
          <t>TỔNG CỘNG THANH TOÁN / 付款总额</t>
        </is>
      </c>
      <c r="B44" s="64" t="n"/>
      <c r="C44" s="64" t="n"/>
      <c r="D44" s="65" t="n"/>
      <c r="E44" s="70" t="n"/>
      <c r="F44" s="71">
        <f>F42+F43</f>
        <v/>
      </c>
      <c r="G44" s="70" t="n"/>
    </row>
    <row r="45" ht="32" customHeight="1" s="42">
      <c r="A45" s="72" t="inlineStr">
        <is>
          <t>Số tiền bằng chữ: Ba tỷ ba trăm bảy mươi chín triệu sáu trăm chín mươi ba nghìn ba trăm năm mươi đồng.
大写金额：叁拾叁亿柒仟玖佰陆拾玖万叁仟叁佰伍拾越南盾整</t>
        </is>
      </c>
    </row>
    <row r="46" s="42"/>
    <row r="47" ht="15" customHeight="1" s="42">
      <c r="A47" s="73" t="inlineStr">
        <is>
          <t>ĐIỀU KHOẢN BÁO GIÁ / 报价条款</t>
        </is>
      </c>
    </row>
    <row r="48" ht="43" customHeight="1" s="42">
      <c r="A48" s="74" t="inlineStr">
        <is>
          <t>1. Đơn giá trên đã bao gồm vật tư và nhân công lắp đặt, chưa bao gồm thuế GTGT. Khối lượng quyết toán theo thực tế thi công. Toàn bộ cáp điện là cáp lõi đồng
1. 以上单价已含材料费及人工安装费，不含增值税。工程量按实际结算。本项目所有电缆均为铜芯电缆。</t>
        </is>
      </c>
    </row>
    <row r="49" ht="30" customHeight="1" s="42">
      <c r="A49" s="74" t="inlineStr">
        <is>
          <t>2. Hiệu lực báo giá: 30 ngày kể từ ngày báo giá.
2. 报价有效期：自报价之日起30天。</t>
        </is>
      </c>
    </row>
    <row r="50" ht="30" customHeight="1" s="42">
      <c r="A50" s="74" t="inlineStr">
        <is>
          <t>3. Thời gian giao hàng: theo tiến độ thi công thống nhất giữa hai bên.
3. 交货时间：按双方确认的施工进度。</t>
        </is>
      </c>
    </row>
    <row r="51" ht="30" customHeight="1" s="42">
      <c r="A51" s="74" t="inlineStr">
        <is>
          <t>4. Địa điểm giao hàng: tại công trình MEGA.
4. 交货地点：MEGA项目现场。</t>
        </is>
      </c>
    </row>
    <row r="52" ht="30" customHeight="1" s="42">
      <c r="A52" s="74" t="inlineStr">
        <is>
          <t>5. Thanh toán: chuyển khoản, theo tiến độ thỏa thuận trong hợp đồng.
5. 付款方式：银行转账，按合同约定的进度付款。</t>
        </is>
      </c>
    </row>
    <row r="53" ht="30" customHeight="1" s="42">
      <c r="A53" s="74">
        <f>"6. Tài khoản / 银行账户: "&amp;'Thông tin công ty'!$C$10&amp;" – "&amp;'Thông tin công ty'!$C$11&amp;" – Chủ tài khoản / 户名: "&amp;"CT TNHH KY THUAT CONG TRINH BLT"</f>
        <v/>
      </c>
    </row>
    <row r="54" s="42"/>
    <row r="55" ht="30" customHeight="1" s="42">
      <c r="A55" s="52" t="inlineStr">
        <is>
          <t>Rất mong nhận được sự hợp tác của Quý khách. Trân trọng!
期待与贵方合作，此致敬礼！</t>
        </is>
      </c>
    </row>
    <row r="56" s="42"/>
    <row r="57" ht="30" customHeight="1" s="42">
      <c r="A57" s="75" t="inlineStr">
        <is>
          <t>KHÁCH HÀNG XÁC NHẬN
客户确认</t>
        </is>
      </c>
      <c r="E57" s="75" t="inlineStr">
        <is>
          <t>GIÁM ĐỐC
总经理</t>
        </is>
      </c>
    </row>
    <row r="58" ht="15" customHeight="1" s="42">
      <c r="A58" s="76" t="inlineStr">
        <is>
          <t>(Ký, ghi rõ họ tên / 签字并注明姓名)</t>
        </is>
      </c>
      <c r="E58" s="76" t="inlineStr">
        <is>
          <t>(Ký, đóng dấu, ghi rõ họ tên / 签字盖章并注明姓名)</t>
        </is>
      </c>
    </row>
    <row r="59" s="42"/>
    <row r="60" s="42"/>
    <row r="61" s="42"/>
    <row r="62" s="42"/>
    <row r="63" ht="15" customHeight="1" s="42">
      <c r="E63" s="75">
        <f>'Thông tin công ty'!$C$12</f>
        <v/>
      </c>
    </row>
  </sheetData>
  <mergeCells count="31">
    <mergeCell ref="E63:G63"/>
    <mergeCell ref="B2:G2"/>
    <mergeCell ref="F11:G11"/>
    <mergeCell ref="A8:G8"/>
    <mergeCell ref="A53:G53"/>
    <mergeCell ref="B1:G1"/>
    <mergeCell ref="A43:D43"/>
    <mergeCell ref="A52:G52"/>
    <mergeCell ref="A57:C57"/>
    <mergeCell ref="A44:D44"/>
    <mergeCell ref="F12:G12"/>
    <mergeCell ref="A42:D42"/>
    <mergeCell ref="C10:G10"/>
    <mergeCell ref="A48:G48"/>
    <mergeCell ref="E57:G57"/>
    <mergeCell ref="A15:G15"/>
    <mergeCell ref="A51:G51"/>
    <mergeCell ref="A49:G49"/>
    <mergeCell ref="A45:G45"/>
    <mergeCell ref="C12:D12"/>
    <mergeCell ref="C11:D11"/>
    <mergeCell ref="A58:C58"/>
    <mergeCell ref="B4:G4"/>
    <mergeCell ref="E58:G58"/>
    <mergeCell ref="A7:G7"/>
    <mergeCell ref="F13:G13"/>
    <mergeCell ref="B3:G3"/>
    <mergeCell ref="A55:G55"/>
    <mergeCell ref="A50:G50"/>
    <mergeCell ref="C13:D13"/>
    <mergeCell ref="A47:G47"/>
  </mergeCells>
  <printOptions horizontalCentered="1" verticalCentered="0" headings="0" gridLines="0" gridLinesSet="1"/>
  <pageMargins left="0.5" right="0.4" top="0.5" bottom="0.5" header="0.511811023622047" footer="0.511811023622047"/>
  <pageSetup orientation="portrait" paperSize="9" scale="100" fitToHeight="2"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B2:C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41" min="1" max="1"/>
    <col width="26" customWidth="1" style="41" min="2" max="2"/>
    <col width="70" customWidth="1" style="41" min="3" max="3"/>
  </cols>
  <sheetData>
    <row r="2" ht="16.15" customHeight="1" s="42">
      <c r="B2" s="77" t="inlineStr">
        <is>
          <t>THÔNG TIN CÔNG TY (điền 1 lần, bảng báo giá tự lấy theo)</t>
        </is>
      </c>
    </row>
    <row r="4" ht="19.5" customHeight="1" s="42">
      <c r="B4" s="78" t="inlineStr">
        <is>
          <t>Tên công ty</t>
        </is>
      </c>
      <c r="C4" s="79" t="inlineStr">
        <is>
          <t>CÔNG TY TNHH KỸ THUẬT CÔNG TRÌNH BLT</t>
        </is>
      </c>
    </row>
    <row r="5" ht="19.5" customHeight="1" s="42">
      <c r="B5" s="78" t="inlineStr">
        <is>
          <t>Địa chỉ</t>
        </is>
      </c>
      <c r="C5" s="79" t="inlineStr">
        <is>
          <t>Số 2A đường Nguyễn Khánh Toàn, khối Trường Phúc, phường Trường Vinh, tỉnh Nghệ An, Việt Nam</t>
        </is>
      </c>
    </row>
    <row r="6" ht="19.5" customHeight="1" s="42">
      <c r="B6" s="78" t="inlineStr">
        <is>
          <t>Mã số thuế</t>
        </is>
      </c>
      <c r="C6" s="79" t="inlineStr">
        <is>
          <t>2902269718</t>
        </is>
      </c>
    </row>
    <row r="7" ht="19.5" customHeight="1" s="42">
      <c r="B7" s="78" t="inlineStr">
        <is>
          <t>Điện thoại</t>
        </is>
      </c>
      <c r="C7" s="79" t="inlineStr">
        <is>
          <t>0984 586 089</t>
        </is>
      </c>
    </row>
    <row r="8" ht="19.5" customHeight="1" s="42">
      <c r="B8" s="78" t="inlineStr">
        <is>
          <t>Email</t>
        </is>
      </c>
      <c r="C8" s="79" t="inlineStr">
        <is>
          <t>hobinh150589@gmail.com</t>
        </is>
      </c>
    </row>
    <row r="9" ht="19.5" customHeight="1" s="42">
      <c r="B9" s="78" t="inlineStr">
        <is>
          <t>Website</t>
        </is>
      </c>
      <c r="C9" s="79" t="inlineStr"/>
    </row>
    <row r="10" ht="19.5" customHeight="1" s="42">
      <c r="B10" s="78" t="inlineStr">
        <is>
          <t>Số tài khoản</t>
        </is>
      </c>
      <c r="C10" s="79" t="inlineStr">
        <is>
          <t>1066217478</t>
        </is>
      </c>
    </row>
    <row r="11" ht="19.5" customHeight="1" s="42">
      <c r="B11" s="78" t="inlineStr">
        <is>
          <t>Ngân hàng</t>
        </is>
      </c>
      <c r="C11" s="79" t="inlineStr">
        <is>
          <t>Ngân hàng TMCP Ngoại thương Việt Nam (Vietcombank)</t>
        </is>
      </c>
    </row>
    <row r="12" ht="19.5" customHeight="1" s="42">
      <c r="B12" s="78" t="inlineStr">
        <is>
          <t>Người đại diện ký báo giá</t>
        </is>
      </c>
      <c r="C12" s="79" t="inlineStr">
        <is>
          <t>HỒ VĂN BÌNH</t>
        </is>
      </c>
    </row>
    <row r="13" ht="19.5" customHeight="1" s="42">
      <c r="B13" s="78" t="inlineStr">
        <is>
          <t>Chức vụ</t>
        </is>
      </c>
      <c r="C13" s="79" t="inlineStr">
        <is>
          <t>Giám đốc</t>
        </is>
      </c>
    </row>
    <row r="15" ht="15" customHeight="1" s="42">
      <c r="B15" s="80" t="inlineStr">
        <is>
          <t>Ô nền vàng là ô cần sửa. Thay phần trong ngoặc vuông [ ] bằng thông tin thật.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B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41" min="1" max="1"/>
    <col width="95" customWidth="1" style="41" min="2" max="2"/>
  </cols>
  <sheetData>
    <row r="2" ht="17.35" customHeight="1" s="42">
      <c r="B2" s="81" t="inlineStr">
        <is>
          <t>HƯỚNG DẪN SỬ DỤNG MẪU BÁO GIÁ</t>
        </is>
      </c>
    </row>
    <row r="3" ht="15" customHeight="1" s="42">
      <c r="B3" s="82" t="n"/>
    </row>
    <row r="4" ht="15" customHeight="1" s="42">
      <c r="B4" s="83" t="inlineStr">
        <is>
          <t>BƯỚC 1 – Điền thông tin công ty (chỉ làm 1 lần)</t>
        </is>
      </c>
    </row>
    <row r="5" ht="15" customHeight="1" s="42">
      <c r="B5" s="84" t="inlineStr">
        <is>
          <t>• Mở trang 'Thông tin công ty', sửa các ô nền vàng (địa chỉ, MST, điện thoại, tài khoản...).</t>
        </is>
      </c>
    </row>
    <row r="6" ht="15" customHeight="1" s="42">
      <c r="B6" s="84" t="inlineStr">
        <is>
          <t>• Phần đầu trang và cuối trang của bảng báo giá sẽ tự cập nhật theo.</t>
        </is>
      </c>
    </row>
    <row r="7" ht="15" customHeight="1" s="42">
      <c r="B7" s="82" t="n"/>
    </row>
    <row r="8" ht="15" customHeight="1" s="42">
      <c r="B8" s="83" t="inlineStr">
        <is>
          <t>BƯỚC 2 – Mỗi lần báo giá cho khách</t>
        </is>
      </c>
    </row>
    <row r="9" ht="15" customHeight="1" s="42">
      <c r="B9" s="84" t="inlineStr">
        <is>
          <t>• Trang 'Báo giá': sửa thông tin khách hàng (ô C10 đến G13), số báo giá (F12) và ngày (F13).</t>
        </is>
      </c>
    </row>
    <row r="10" ht="15" customHeight="1" s="42">
      <c r="B10" s="84" t="inlineStr">
        <is>
          <t>• Danh sách hàng: nhập Tên hàng (cột B), ĐVT (C), Số lượng (D), Đơn giá (E), Ghi chú (G) từ dòng 18 đến 29.</t>
        </is>
      </c>
    </row>
    <row r="11" ht="15" customHeight="1" s="42">
      <c r="B11" s="84" t="inlineStr">
        <is>
          <t>• Cột STT và Thành tiền TỰ ĐỘNG tính – không cần gõ. Tổng tiền, thuế GTGT cũng tự tính.</t>
        </is>
      </c>
    </row>
    <row r="12" ht="15" customHeight="1" s="42">
      <c r="B12" s="84" t="inlineStr">
        <is>
          <t>• Hai dòng đầu (Giấy in A4, Mực in HP 12A) chỉ là VÍ DỤ – hãy xóa và thay bằng hàng của bạn.</t>
        </is>
      </c>
    </row>
    <row r="13" ht="15" customHeight="1" s="42">
      <c r="B13" s="84" t="inlineStr">
        <is>
          <t>• Thuế suất GTGT ở ô E31 (mặc định 10%). Đổi thành 8% hoặc 0% nếu cần.</t>
        </is>
      </c>
    </row>
    <row r="14" ht="15" customHeight="1" s="42">
      <c r="B14" s="84" t="inlineStr">
        <is>
          <t>• Sửa dòng 'Số tiền bằng chữ' (ô A33) theo tổng cộng; sửa các điều khoản trong ngoặc [ ] cho phù hợp.</t>
        </is>
      </c>
    </row>
    <row r="15" ht="15" customHeight="1" s="42">
      <c r="B15" s="82" t="n"/>
    </row>
    <row r="16" ht="15" customHeight="1" s="42">
      <c r="B16" s="83" t="inlineStr">
        <is>
          <t>BƯỚC 3 – Thay logo</t>
        </is>
      </c>
    </row>
    <row r="17" ht="15" customHeight="1" s="42">
      <c r="B17" s="84" t="inlineStr">
        <is>
          <t>• Logo hiện tại là logo TẠM. Bấm vào logo trên trang 'Báo giá' → Delete, rồi Insert (Chèn) → Pictures (Ảnh) để chèn logo thật.</t>
        </is>
      </c>
    </row>
    <row r="18" ht="15" customHeight="1" s="42">
      <c r="B18" s="82" t="n"/>
    </row>
    <row r="19" ht="15" customHeight="1" s="42">
      <c r="B19" s="83" t="inlineStr">
        <is>
          <t>BƯỚC 4 – In / gửi khách</t>
        </is>
      </c>
    </row>
    <row r="20" ht="15" customHeight="1" s="42">
      <c r="B20" s="84" t="inlineStr">
        <is>
          <t>• File đã căn sẵn khổ A4 dọc, vừa 1 trang. Bấm File → Print, hoặc File → Save As → PDF để gửi qua Zalo/Email.</t>
        </is>
      </c>
    </row>
    <row r="21" ht="15" customHeight="1" s="42">
      <c r="B21" s="84" t="inlineStr">
        <is>
          <t>• Mẹo: trước mỗi lần báo giá mới, nên lưu thành file mới (Save As) để giữ lại mẫu gốc.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2026-10-01T23:05:03Z</dcterms:created>
  <dcterms:modified xmlns:dcterms="http://purl.org/dc/terms/" xmlns:xsi="http://www.w3.org/2001/XMLSchema-instance" xsi:type="dcterms:W3CDTF">2026-10-10T08:49:28Z</dcterms:modified>
  <cp:revision>0</cp:revision>
</cp:coreProperties>
</file>
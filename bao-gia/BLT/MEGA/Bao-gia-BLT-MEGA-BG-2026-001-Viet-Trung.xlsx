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sheetId="1" state="visible" r:id="rId1"/>
  </sheets>
  <definedNames>
    <definedName name="_xlnm.Print_Titles" localSheetId="0">'Báo giá'!$21:$21</definedName>
    <definedName name="_xlnm.Print_Area" localSheetId="0">'Báo giá'!$A$1:$G$71</definedName>
  </definedNames>
  <calcPr calcId="124519" fullCalcOnLoad="1"/>
</workbook>
</file>

<file path=xl/styles.xml><?xml version="1.0" encoding="utf-8"?>
<styleSheet xmlns="http://schemas.openxmlformats.org/spreadsheetml/2006/main">
  <numFmts count="1">
    <numFmt numFmtId="164" formatCode="#,##0.##"/>
  </numFmts>
  <fonts count="19">
    <font>
      <name val="Calibri"/>
      <family val="2"/>
      <color theme="1"/>
      <sz val="11"/>
      <scheme val="minor"/>
    </font>
    <font>
      <name val="Arial"/>
      <b val="1"/>
      <color rgb="000D2B66"/>
      <sz val="16"/>
    </font>
    <font>
      <name val="Arial"/>
      <color rgb="00404040"/>
      <sz val="9"/>
    </font>
    <font>
      <name val="Arial"/>
      <b val="1"/>
      <color rgb="000D2B66"/>
      <sz val="22"/>
    </font>
    <font>
      <name val="Arial"/>
      <b val="1"/>
      <color rgb="007F7F7F"/>
      <sz val="11"/>
    </font>
    <font>
      <name val="Arial"/>
      <b val="1"/>
      <color rgb="00FFFFFF"/>
      <sz val="9.5"/>
    </font>
    <font>
      <name val="Arial"/>
      <i val="1"/>
      <color rgb="00262626"/>
      <sz val="10"/>
    </font>
    <font>
      <name val="Arial"/>
      <b val="1"/>
      <color rgb="000D2B66"/>
      <sz val="9.5"/>
    </font>
    <font>
      <name val="Arial"/>
      <color rgb="00000000"/>
      <sz val="9.5"/>
    </font>
    <font>
      <name val="Arial"/>
      <b val="1"/>
      <color rgb="00000000"/>
      <sz val="9.5"/>
    </font>
    <font>
      <name val="Arial"/>
      <color rgb="00404040"/>
      <sz val="8.5"/>
    </font>
    <font>
      <name val="Arial"/>
      <b val="1"/>
      <color rgb="00000000"/>
      <sz val="10"/>
    </font>
    <font>
      <name val="Arial"/>
      <color rgb="00000000"/>
      <sz val="10"/>
    </font>
    <font>
      <name val="Arial"/>
      <b val="1"/>
      <color rgb="00FFFFFF"/>
      <sz val="11.5"/>
    </font>
    <font>
      <name val="Arial"/>
      <b val="1"/>
      <i val="1"/>
      <color rgb="000D2B66"/>
      <sz val="10"/>
    </font>
    <font>
      <name val="Arial"/>
      <b val="1"/>
      <color rgb="000D2B66"/>
      <sz val="10.5"/>
    </font>
    <font>
      <name val="Arial"/>
      <color rgb="00262626"/>
      <sz val="9.5"/>
    </font>
    <font>
      <name val="Arial"/>
      <i val="1"/>
      <color rgb="00595959"/>
      <sz val="8.5"/>
    </font>
    <font>
      <name val="Arial"/>
      <b val="1"/>
      <color rgb="00000000"/>
      <sz val="11"/>
    </font>
  </fonts>
  <fills count="6">
    <fill>
      <patternFill/>
    </fill>
    <fill>
      <patternFill patternType="gray125"/>
    </fill>
    <fill>
      <patternFill patternType="solid">
        <fgColor rgb="000D2B66"/>
      </patternFill>
    </fill>
    <fill>
      <patternFill patternType="solid">
        <fgColor rgb="00F7F9FC"/>
      </patternFill>
    </fill>
    <fill>
      <patternFill patternType="solid">
        <fgColor rgb="00EEF2F8"/>
      </patternFill>
    </fill>
    <fill>
      <patternFill patternType="solid">
        <fgColor rgb="00FFFFFF"/>
      </patternFill>
    </fill>
  </fills>
  <borders count="16">
    <border>
      <left/>
      <right/>
      <top/>
      <bottom/>
      <diagonal/>
    </border>
    <border>
      <bottom style="medium">
        <color rgb="000D2B66"/>
      </bottom>
    </border>
    <border>
      <bottom style="thin">
        <color rgb="00F7931E"/>
      </bottom>
    </border>
    <border>
      <left style="thin">
        <color rgb="00C9D1DC"/>
      </left>
      <top style="thin">
        <color rgb="00C9D1DC"/>
      </top>
    </border>
    <border>
      <top style="thin">
        <color rgb="00C9D1DC"/>
      </top>
    </border>
    <border>
      <right style="thin">
        <color rgb="00C9D1DC"/>
      </right>
      <top style="thin">
        <color rgb="00C9D1DC"/>
      </top>
    </border>
    <border>
      <left style="thin">
        <color rgb="00C9D1DC"/>
      </left>
    </border>
    <border/>
    <border>
      <right style="thin">
        <color rgb="00C9D1DC"/>
      </right>
    </border>
    <border>
      <left style="thin">
        <color rgb="00C9D1DC"/>
      </left>
      <bottom style="thin">
        <color rgb="00C9D1DC"/>
      </bottom>
    </border>
    <border>
      <bottom style="thin">
        <color rgb="00C9D1DC"/>
      </bottom>
    </border>
    <border>
      <right style="thin">
        <color rgb="00C9D1DC"/>
      </right>
      <bottom style="thin">
        <color rgb="00C9D1DC"/>
      </bottom>
    </border>
    <border>
      <left style="thick">
        <color rgb="00F7931E"/>
      </left>
    </border>
    <border>
      <left style="thin">
        <color rgb="00FFFFFF"/>
      </left>
      <right style="thin">
        <color rgb="00FFFFFF"/>
      </right>
    </border>
    <border>
      <left style="thin">
        <color rgb="00C9D1DC"/>
      </left>
      <right style="thin">
        <color rgb="00C9D1DC"/>
      </right>
      <top style="thin">
        <color rgb="00C9D1DC"/>
      </top>
      <bottom style="thin">
        <color rgb="00C9D1DC"/>
      </bottom>
    </border>
    <border>
      <top style="medium">
        <color rgb="000D2B66"/>
      </top>
    </border>
  </borders>
  <cellStyleXfs count="1">
    <xf numFmtId="0" fontId="0" fillId="0" borderId="0"/>
  </cellStyleXfs>
  <cellXfs count="47">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0" fillId="0" borderId="1" pivotButton="0" quotePrefix="0" xfId="0"/>
    <xf numFmtId="0" fontId="0" fillId="0" borderId="2"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2" borderId="3" applyAlignment="1" pivotButton="0" quotePrefix="0" xfId="0">
      <alignment horizontal="left" vertical="center" wrapText="1" indent="1"/>
    </xf>
    <xf numFmtId="0" fontId="5" fillId="2" borderId="4" applyAlignment="1" pivotButton="0" quotePrefix="0" xfId="0">
      <alignment horizontal="left" vertical="center" wrapText="1" indent="1"/>
    </xf>
    <xf numFmtId="0" fontId="5" fillId="2" borderId="5" applyAlignment="1" pivotButton="0" quotePrefix="0" xfId="0">
      <alignment horizontal="left" vertical="center" wrapText="1" indent="1"/>
    </xf>
    <xf numFmtId="0" fontId="0" fillId="3" borderId="6" applyAlignment="1" pivotButton="0" quotePrefix="0" xfId="0">
      <alignment horizontal="left" vertical="center" wrapText="1" indent="1"/>
    </xf>
    <xf numFmtId="0" fontId="0" fillId="3" borderId="7" applyAlignment="1" pivotButton="0" quotePrefix="0" xfId="0">
      <alignment horizontal="left" vertical="center" wrapText="1" indent="1"/>
    </xf>
    <xf numFmtId="0" fontId="0" fillId="3" borderId="8" applyAlignment="1" pivotButton="0" quotePrefix="0" xfId="0">
      <alignment horizontal="left" vertical="center" wrapText="1" indent="1"/>
    </xf>
    <xf numFmtId="0" fontId="0" fillId="3" borderId="9" applyAlignment="1" pivotButton="0" quotePrefix="0" xfId="0">
      <alignment horizontal="left" vertical="center" wrapText="1" indent="1"/>
    </xf>
    <xf numFmtId="0" fontId="0" fillId="3" borderId="10" applyAlignment="1" pivotButton="0" quotePrefix="0" xfId="0">
      <alignment horizontal="left" vertical="center" wrapText="1" indent="1"/>
    </xf>
    <xf numFmtId="0" fontId="0" fillId="3" borderId="11" applyAlignment="1" pivotButton="0" quotePrefix="0" xfId="0">
      <alignment horizontal="left" vertical="center" wrapText="1" indent="1"/>
    </xf>
    <xf numFmtId="0" fontId="0" fillId="4" borderId="12" applyAlignment="1" pivotButton="0" quotePrefix="0" xfId="0">
      <alignment horizontal="left" vertical="center" wrapText="1" indent="1"/>
    </xf>
    <xf numFmtId="0" fontId="6" fillId="0" borderId="0" applyAlignment="1" pivotButton="0" quotePrefix="0" xfId="0">
      <alignment horizontal="left" vertical="center" wrapText="1"/>
    </xf>
    <xf numFmtId="0" fontId="5" fillId="2" borderId="13" applyAlignment="1" pivotButton="0" quotePrefix="0" xfId="0">
      <alignment horizontal="center" vertical="center" wrapText="1"/>
    </xf>
    <xf numFmtId="0" fontId="7" fillId="4" borderId="14" applyAlignment="1" pivotButton="0" quotePrefix="0" xfId="0">
      <alignment horizontal="center" vertical="center" wrapText="1"/>
    </xf>
    <xf numFmtId="0" fontId="7" fillId="4" borderId="14" applyAlignment="1" pivotButton="0" quotePrefix="0" xfId="0">
      <alignment horizontal="left" vertical="center" wrapText="1"/>
    </xf>
    <xf numFmtId="0" fontId="8" fillId="5" borderId="14" applyAlignment="1" pivotButton="0" quotePrefix="0" xfId="0">
      <alignment horizontal="center" vertical="center" wrapText="1"/>
    </xf>
    <xf numFmtId="0" fontId="8" fillId="5" borderId="14" applyAlignment="1" pivotButton="0" quotePrefix="0" xfId="0">
      <alignment horizontal="left" vertical="center" wrapText="1"/>
    </xf>
    <xf numFmtId="3" fontId="8" fillId="5" borderId="14" applyAlignment="1" pivotButton="0" quotePrefix="0" xfId="0">
      <alignment horizontal="right" vertical="center" wrapText="1"/>
    </xf>
    <xf numFmtId="3" fontId="9" fillId="5" borderId="14" applyAlignment="1" pivotButton="0" quotePrefix="0" xfId="0">
      <alignment horizontal="right" vertical="center" wrapText="1"/>
    </xf>
    <xf numFmtId="0" fontId="10" fillId="5" borderId="14" applyAlignment="1" pivotButton="0" quotePrefix="0" xfId="0">
      <alignment horizontal="left" vertical="center" wrapText="1"/>
    </xf>
    <xf numFmtId="0" fontId="8" fillId="3" borderId="14" applyAlignment="1" pivotButton="0" quotePrefix="0" xfId="0">
      <alignment horizontal="center" vertical="center" wrapText="1"/>
    </xf>
    <xf numFmtId="0" fontId="8" fillId="3" borderId="14" applyAlignment="1" pivotButton="0" quotePrefix="0" xfId="0">
      <alignment horizontal="left" vertical="center" wrapText="1"/>
    </xf>
    <xf numFmtId="3" fontId="8" fillId="3" borderId="14" applyAlignment="1" pivotButton="0" quotePrefix="0" xfId="0">
      <alignment horizontal="right" vertical="center" wrapText="1"/>
    </xf>
    <xf numFmtId="3" fontId="9" fillId="3" borderId="14" applyAlignment="1" pivotButton="0" quotePrefix="0" xfId="0">
      <alignment horizontal="right" vertical="center" wrapText="1"/>
    </xf>
    <xf numFmtId="0" fontId="10" fillId="3" borderId="14" applyAlignment="1" pivotButton="0" quotePrefix="0" xfId="0">
      <alignment horizontal="left" vertical="center" wrapText="1"/>
    </xf>
    <xf numFmtId="164" fontId="8" fillId="3" borderId="14" applyAlignment="1" pivotButton="0" quotePrefix="0" xfId="0">
      <alignment horizontal="right" vertical="center" wrapText="1"/>
    </xf>
    <xf numFmtId="0" fontId="11" fillId="0" borderId="15" applyAlignment="1" pivotButton="0" quotePrefix="0" xfId="0">
      <alignment horizontal="right" vertical="center" wrapText="1"/>
    </xf>
    <xf numFmtId="3" fontId="11" fillId="0" borderId="15" applyAlignment="1" pivotButton="0" quotePrefix="0" xfId="0">
      <alignment horizontal="right" vertical="center" wrapText="1"/>
    </xf>
    <xf numFmtId="0" fontId="0" fillId="0" borderId="15" applyAlignment="1" pivotButton="0" quotePrefix="0" xfId="0">
      <alignment horizontal="left" vertical="center" wrapText="1"/>
    </xf>
    <xf numFmtId="0" fontId="12" fillId="0" borderId="0" applyAlignment="1" pivotButton="0" quotePrefix="0" xfId="0">
      <alignment horizontal="right" vertical="center" wrapText="1"/>
    </xf>
    <xf numFmtId="9" fontId="12" fillId="0" borderId="0" applyAlignment="1" pivotButton="0" quotePrefix="0" xfId="0">
      <alignment horizontal="center" vertical="center" wrapText="1"/>
    </xf>
    <xf numFmtId="3" fontId="12" fillId="0" borderId="0" applyAlignment="1" pivotButton="0" quotePrefix="0" xfId="0">
      <alignment horizontal="right" vertical="center" wrapText="1"/>
    </xf>
    <xf numFmtId="0" fontId="13" fillId="2" borderId="0" applyAlignment="1" pivotButton="0" quotePrefix="0" xfId="0">
      <alignment horizontal="right" vertical="center" wrapText="1"/>
    </xf>
    <xf numFmtId="3" fontId="13" fillId="2" borderId="0" applyAlignment="1" pivotButton="0" quotePrefix="0" xfId="0">
      <alignment horizontal="right" vertical="center" wrapText="1"/>
    </xf>
    <xf numFmtId="0" fontId="0" fillId="2" borderId="0" applyAlignment="1" pivotButton="0" quotePrefix="0" xfId="0">
      <alignment horizontal="left" vertical="center" wrapText="1"/>
    </xf>
    <xf numFmtId="0" fontId="14" fillId="4" borderId="2" applyAlignment="1" pivotButton="0" quotePrefix="0" xfId="0">
      <alignment horizontal="left" vertical="center" wrapText="1" indent="1"/>
    </xf>
    <xf numFmtId="0" fontId="15" fillId="0" borderId="2" applyAlignment="1" pivotButton="0" quotePrefix="0" xfId="0">
      <alignment horizontal="left" vertical="center"/>
    </xf>
    <xf numFmtId="0" fontId="16" fillId="0" borderId="0" applyAlignment="1" pivotButton="0" quotePrefix="0" xfId="0">
      <alignment horizontal="left" vertical="top" wrapText="1"/>
    </xf>
    <xf numFmtId="0" fontId="15"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8"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19050</colOff>
      <row>0</row>
      <rowOff>28575</rowOff>
    </from>
    <ext cx="876300" cy="87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71"/>
  <sheetViews>
    <sheetView showGridLines="0" workbookViewId="0">
      <selection activeCell="A1" sqref="A1"/>
    </sheetView>
  </sheetViews>
  <sheetFormatPr baseColWidth="8" defaultRowHeight="15"/>
  <cols>
    <col width="5.5" customWidth="1" min="1" max="1"/>
    <col width="40" customWidth="1" min="2" max="2"/>
    <col width="8" customWidth="1" min="3" max="3"/>
    <col width="9" customWidth="1" min="4" max="4"/>
    <col width="14.5" customWidth="1" min="5" max="5"/>
    <col width="16.5" customWidth="1" min="6" max="6"/>
    <col width="14" customWidth="1" min="7" max="7"/>
  </cols>
  <sheetData>
    <row r="1" ht="28" customHeight="1">
      <c r="B1" s="1" t="inlineStr">
        <is>
          <t>CÔNG TY TNHH KỸ THUẬT CÔNG TRÌNH BLT</t>
        </is>
      </c>
      <c r="C1" s="1" t="n"/>
      <c r="D1" s="1" t="n"/>
      <c r="E1" s="1" t="n"/>
      <c r="F1" s="1" t="n"/>
      <c r="G1" s="1" t="n"/>
    </row>
    <row r="2" ht="15" customHeight="1">
      <c r="B2" s="2" t="inlineStr">
        <is>
          <t>Địa chỉ / 地址: Số 2A đường Nguyễn Khánh Toàn, khối Trường Phúc, phường Trường Vinh, tỉnh Nghệ An, Việt Nam</t>
        </is>
      </c>
      <c r="C2" s="2" t="n"/>
      <c r="D2" s="2" t="n"/>
      <c r="E2" s="2" t="n"/>
      <c r="F2" s="2" t="n"/>
      <c r="G2" s="2" t="n"/>
    </row>
    <row r="3" ht="15" customHeight="1">
      <c r="B3" s="2" t="inlineStr">
        <is>
          <t>MST / 税号: 2902269718   |   Điện thoại / 电话: 0984 586 089</t>
        </is>
      </c>
      <c r="C3" s="2" t="n"/>
      <c r="D3" s="2" t="n"/>
      <c r="E3" s="2" t="n"/>
      <c r="F3" s="2" t="n"/>
      <c r="G3" s="2" t="n"/>
    </row>
    <row r="4" ht="15" customHeight="1">
      <c r="B4" s="2" t="inlineStr">
        <is>
          <t>Email / 邮箱: hobinh150589@gmail.com</t>
        </is>
      </c>
      <c r="C4" s="2" t="n"/>
      <c r="D4" s="2" t="n"/>
      <c r="E4" s="2" t="n"/>
      <c r="F4" s="2" t="n"/>
      <c r="G4" s="2" t="n"/>
    </row>
    <row r="5" ht="10" customHeight="1">
      <c r="A5" s="3" t="n"/>
      <c r="B5" s="3" t="n"/>
      <c r="C5" s="3" t="n"/>
      <c r="D5" s="3" t="n"/>
      <c r="E5" s="3" t="n"/>
      <c r="F5" s="3" t="n"/>
      <c r="G5" s="3" t="n"/>
    </row>
    <row r="6" ht="4" customHeight="1">
      <c r="A6" s="4" t="n"/>
      <c r="B6" s="4" t="n"/>
      <c r="C6" s="4" t="n"/>
      <c r="D6" s="4" t="n"/>
      <c r="E6" s="4" t="n"/>
      <c r="F6" s="4" t="n"/>
      <c r="G6" s="4" t="n"/>
    </row>
    <row r="7" ht="10" customHeight="1"/>
    <row r="8" ht="34" customHeight="1">
      <c r="A8" s="5" t="inlineStr">
        <is>
          <t>BẢNG BÁO GIÁ</t>
        </is>
      </c>
      <c r="B8" s="5" t="n"/>
      <c r="C8" s="5" t="n"/>
      <c r="D8" s="5" t="n"/>
      <c r="E8" s="5" t="n"/>
      <c r="F8" s="5" t="n"/>
      <c r="G8" s="5" t="n"/>
    </row>
    <row r="9" ht="16" customHeight="1">
      <c r="A9" s="6" t="inlineStr">
        <is>
          <t>报价单</t>
        </is>
      </c>
      <c r="B9" s="6" t="n"/>
      <c r="C9" s="6" t="n"/>
      <c r="D9" s="6" t="n"/>
      <c r="E9" s="6" t="n"/>
      <c r="F9" s="6" t="n"/>
      <c r="G9" s="6" t="n"/>
    </row>
    <row r="10" ht="10" customHeight="1"/>
    <row r="11" ht="20" customHeight="1">
      <c r="A11" s="7" t="inlineStr">
        <is>
          <t>THÔNG TIN KHÁCH HÀNG / 客户信息</t>
        </is>
      </c>
      <c r="B11" s="8" t="n"/>
      <c r="C11" s="9" t="n"/>
      <c r="E11" s="7" t="inlineStr">
        <is>
          <t>THÔNG TIN BÁO GIÁ / 报价信息</t>
        </is>
      </c>
      <c r="F11" s="8" t="n"/>
      <c r="G11" s="9" t="n"/>
    </row>
    <row r="12" ht="17.5" customHeight="1">
      <c r="A12" s="10" t="inlineStr">
        <is>
          <r>
            <rPr>
              <rFont val="Arial"/>
              <color rgb="00595959"/>
              <sz val="9.5"/>
            </rPr>
            <t xml:space="preserve">Kính gửi / 致: </t>
          </r>
          <r>
            <rPr>
              <rFont val="Arial"/>
              <b val="1"/>
              <color rgb="00000000"/>
              <sz val="9.5"/>
            </rPr>
            <t>CÔNG TY MEGA</t>
          </r>
        </is>
      </c>
      <c r="B12" s="11" t="n"/>
      <c r="C12" s="12" t="n"/>
      <c r="E12" s="10" t="inlineStr">
        <is>
          <r>
            <rPr>
              <rFont val="Arial"/>
              <color rgb="00595959"/>
              <sz val="9.5"/>
            </rPr>
            <t xml:space="preserve">Số báo giá / 报价编号: </t>
          </r>
          <r>
            <rPr>
              <rFont val="Arial"/>
              <b val="1"/>
              <color rgb="00000000"/>
              <sz val="9.5"/>
            </rPr>
            <t>BG-2026/001</t>
          </r>
        </is>
      </c>
      <c r="F12" s="11" t="n"/>
      <c r="G12" s="12" t="n"/>
    </row>
    <row r="13" ht="17.5" customHeight="1">
      <c r="A13" s="10" t="inlineStr">
        <is>
          <r>
            <rPr>
              <rFont val="Arial"/>
              <color rgb="00595959"/>
              <sz val="9.5"/>
            </rPr>
            <t xml:space="preserve">Người liên hệ / 联系人: </t>
          </r>
        </is>
      </c>
      <c r="B13" s="11" t="n"/>
      <c r="C13" s="12" t="n"/>
      <c r="E13" s="10" t="inlineStr">
        <is>
          <r>
            <rPr>
              <rFont val="Arial"/>
              <color rgb="00595959"/>
              <sz val="9.5"/>
            </rPr>
            <t xml:space="preserve">Ngày báo giá / 报价日期: </t>
          </r>
          <r>
            <rPr>
              <rFont val="Arial"/>
              <color rgb="00000000"/>
              <sz val="9.5"/>
            </rPr>
            <t>10/10/2026</t>
          </r>
        </is>
      </c>
      <c r="F13" s="11" t="n"/>
      <c r="G13" s="12" t="n"/>
    </row>
    <row r="14" ht="17.5" customHeight="1">
      <c r="A14" s="10" t="inlineStr">
        <is>
          <r>
            <rPr>
              <rFont val="Arial"/>
              <color rgb="00595959"/>
              <sz val="9.5"/>
            </rPr>
            <t xml:space="preserve">Điện thoại / 电话: </t>
          </r>
        </is>
      </c>
      <c r="B14" s="11" t="n"/>
      <c r="C14" s="12" t="n"/>
      <c r="E14" s="10" t="inlineStr">
        <is>
          <r>
            <rPr>
              <rFont val="Arial"/>
              <color rgb="00595959"/>
              <sz val="9.5"/>
            </rPr>
            <t xml:space="preserve">Hiệu lực / 有效期: </t>
          </r>
          <r>
            <rPr>
              <rFont val="Arial"/>
              <color rgb="00000000"/>
              <sz val="9.5"/>
            </rPr>
            <t>30 ngày / 30天</t>
          </r>
        </is>
      </c>
      <c r="F14" s="11" t="n"/>
      <c r="G14" s="12" t="n"/>
    </row>
    <row r="15" ht="30" customHeight="1">
      <c r="A15" s="13" t="inlineStr">
        <is>
          <r>
            <rPr>
              <rFont val="Arial"/>
              <color rgb="00595959"/>
              <sz val="9.5"/>
            </rPr>
            <t xml:space="preserve">Địa chỉ / 地址: </t>
          </r>
        </is>
      </c>
      <c r="B15" s="14" t="n"/>
      <c r="C15" s="15" t="n"/>
      <c r="E15" s="13" t="inlineStr">
        <is>
          <r>
            <rPr>
              <rFont val="Arial"/>
              <color rgb="00595959"/>
              <sz val="9.5"/>
            </rPr>
            <t xml:space="preserve">Người phụ trách / 负责人: </t>
          </r>
          <r>
            <rPr>
              <rFont val="Arial"/>
              <color rgb="00000000"/>
              <sz val="9.5"/>
            </rPr>
            <t>HỒ VĂN BÌNH – 0984 586 089</t>
          </r>
        </is>
      </c>
      <c r="F15" s="14" t="n"/>
      <c r="G15" s="15" t="n"/>
    </row>
    <row r="16" ht="10" customHeight="1"/>
    <row r="17" ht="34" customHeight="1">
      <c r="A17" s="16" t="inlineStr">
        <is>
          <r>
            <rPr>
              <rFont val="Arial"/>
              <b val="1"/>
              <color rgb="000D2B66"/>
              <sz val="9.5"/>
            </rPr>
            <t xml:space="preserve">CÔNG TRÌNH / 工程:  </t>
          </r>
          <r>
            <rPr>
              <rFont val="Arial"/>
              <b val="1"/>
              <color rgb="00000000"/>
              <sz val="9.5"/>
            </rPr>
            <t>Hạng mục Hệ thống điện điều hòa – Công trình lắp đặt điều hòa không khí MS1 tầng 1 &amp; BP2, dự án MEGA giai đoạn 1</t>
          </r>
          <r>
            <rPr>
              <rFont val="Arial"/>
              <color rgb="00000000"/>
              <sz val="9.5"/>
            </rPr>
            <t xml:space="preserve">
MEGA一期MS1一楼&amp;BP2空调安装工程——空调电气系统部分</t>
          </r>
        </is>
      </c>
      <c r="B17" s="16" t="n"/>
      <c r="C17" s="16" t="n"/>
      <c r="D17" s="16" t="n"/>
      <c r="E17" s="16" t="n"/>
      <c r="F17" s="16" t="n"/>
      <c r="G17" s="16" t="n"/>
    </row>
    <row r="18" ht="10" customHeight="1"/>
    <row r="19" ht="44" customHeight="1">
      <c r="A19" s="17" t="inlineStr">
        <is>
          <t>CÔNG TY TNHH KỸ THUẬT CÔNG TRÌNH BLT trân trọng cảm ơn Quý khách đã quan tâm. Chúng tôi xin gửi tới Quý khách bảng báo giá cho công trình nêu trên như sau:
我司衷心感谢贵方的关注，现将上述工程报价如下：</t>
        </is>
      </c>
      <c r="B19" s="17" t="n"/>
      <c r="C19" s="17" t="n"/>
      <c r="D19" s="17" t="n"/>
      <c r="E19" s="17" t="n"/>
      <c r="F19" s="17" t="n"/>
      <c r="G19" s="17" t="n"/>
    </row>
    <row r="20" ht="8" customHeight="1"/>
    <row r="21" ht="36" customHeight="1">
      <c r="A21" s="18" t="inlineStr">
        <is>
          <t>STT
序号</t>
        </is>
      </c>
      <c r="B21" s="18" t="inlineStr">
        <is>
          <t>Tên hàng hóa / Quy cách kỹ thuật
货物名称 / 技术规格</t>
        </is>
      </c>
      <c r="C21" s="18" t="inlineStr">
        <is>
          <t>ĐVT
单位</t>
        </is>
      </c>
      <c r="D21" s="18" t="inlineStr">
        <is>
          <t>Số lượng
数量</t>
        </is>
      </c>
      <c r="E21" s="18" t="inlineStr">
        <is>
          <t>Đơn giá (VNĐ)
单价(越南盾)</t>
        </is>
      </c>
      <c r="F21" s="18" t="inlineStr">
        <is>
          <t>Thành tiền (VNĐ)
金额(越南盾)</t>
        </is>
      </c>
      <c r="G21" s="18" t="inlineStr">
        <is>
          <t>Ghi chú
备注</t>
        </is>
      </c>
    </row>
    <row r="22" ht="30" customHeight="1">
      <c r="A22" s="19" t="inlineStr">
        <is>
          <t>I</t>
        </is>
      </c>
      <c r="B22" s="20" t="inlineStr">
        <is>
          <t>Tủ điện, tủ điều khiển
配电箱及控制柜</t>
        </is>
      </c>
      <c r="C22" s="20" t="n"/>
      <c r="D22" s="20" t="n"/>
      <c r="E22" s="20" t="n"/>
      <c r="F22" s="20" t="n"/>
      <c r="G22" s="20" t="n"/>
    </row>
    <row r="23" ht="42" customHeight="1">
      <c r="A23" s="21" t="n">
        <v>1</v>
      </c>
      <c r="B23" s="22" t="inlineStr">
        <is>
          <t>Tủ đồng hồ điện thông minh (gồm đồng hồ điện đa năng, biến dòng, cầu đấu dây; lắp treo tường)
智能电表箱（含多功能电表、互感器、接线端子等；悬挂式）</t>
        </is>
      </c>
      <c r="C23" s="21" t="inlineStr">
        <is>
          <t>Tủ
台</t>
        </is>
      </c>
      <c r="D23" s="23" t="n">
        <v>3</v>
      </c>
      <c r="E23" s="23" t="n">
        <v>7700000</v>
      </c>
      <c r="F23" s="24">
        <f>IF(OR(D23="",E23=""),"",ROUND(D23*E23,0))</f>
        <v/>
      </c>
      <c r="G23" s="25" t="inlineStr">
        <is>
          <t>Acrel</t>
        </is>
      </c>
    </row>
    <row r="24" ht="54" customHeight="1">
      <c r="A24" s="26" t="n">
        <v>2</v>
      </c>
      <c r="B24" s="27" t="inlineStr">
        <is>
          <t>Tủ điều khiển biến tần bơm nước lạnh ACPL-01 (tủ kiểu Rittal 1800×1000×800, đặt sàn)
冷冻水泵变频控制柜 ACPL-01（仿威图机柜1800×1000×800，落地式）</t>
        </is>
      </c>
      <c r="C24" s="26" t="inlineStr">
        <is>
          <t>Tủ
台</t>
        </is>
      </c>
      <c r="D24" s="28" t="n">
        <v>1</v>
      </c>
      <c r="E24" s="28" t="n">
        <v>220000000</v>
      </c>
      <c r="F24" s="29">
        <f>IF(OR(D24="",E24=""),"",ROUND(D24*E24,0))</f>
        <v/>
      </c>
      <c r="G24" s="30" t="inlineStr">
        <is>
          <t>ABB, Schneider; Acrel</t>
        </is>
      </c>
    </row>
    <row r="25" ht="54" customHeight="1">
      <c r="A25" s="21" t="n">
        <v>3</v>
      </c>
      <c r="B25" s="22" t="inlineStr">
        <is>
          <t>Tủ điều khiển biến tần bơm nước lạnh ACPL-02 (tủ kiểu Rittal 1800×1000×800, đặt sàn)
冷冻水泵变频控制柜 ACPL-02（仿威图机柜1800×1000×800，落地式）</t>
        </is>
      </c>
      <c r="C25" s="21" t="inlineStr">
        <is>
          <t>Tủ
台</t>
        </is>
      </c>
      <c r="D25" s="23" t="n">
        <v>1</v>
      </c>
      <c r="E25" s="23" t="n">
        <v>220000000</v>
      </c>
      <c r="F25" s="24">
        <f>IF(OR(D25="",E25=""),"",ROUND(D25*E25,0))</f>
        <v/>
      </c>
      <c r="G25" s="25" t="inlineStr">
        <is>
          <t>ABB, Schneider; Acrel</t>
        </is>
      </c>
    </row>
    <row r="26" ht="54" customHeight="1">
      <c r="A26" s="26" t="n">
        <v>4</v>
      </c>
      <c r="B26" s="27" t="inlineStr">
        <is>
          <t>Tủ điều khiển biến tần bơm nước giải nhiệt ACPL-03 (tủ kiểu Rittal 1800×1000×800, đặt sàn)
冷却水泵变频控制柜 ACPL-03（仿威图机柜1800×1000×800，落地式）</t>
        </is>
      </c>
      <c r="C26" s="26" t="inlineStr">
        <is>
          <t>Tủ
台</t>
        </is>
      </c>
      <c r="D26" s="28" t="n">
        <v>1</v>
      </c>
      <c r="E26" s="28" t="n">
        <v>220000000</v>
      </c>
      <c r="F26" s="29">
        <f>IF(OR(D26="",E26=""),"",ROUND(D26*E26,0))</f>
        <v/>
      </c>
      <c r="G26" s="30" t="inlineStr">
        <is>
          <t>ABB, Schneider; Acrel</t>
        </is>
      </c>
    </row>
    <row r="27" ht="54" customHeight="1">
      <c r="A27" s="21" t="n">
        <v>5</v>
      </c>
      <c r="B27" s="22" t="inlineStr">
        <is>
          <t>Tủ điều khiển biến tần bơm nước giải nhiệt ACPL-04 (tủ kiểu Rittal 1800×1000×800, đặt sàn)
冷却水泵变频控制柜 ACPL-04（仿威图机柜1800×1000×800，落地式）</t>
        </is>
      </c>
      <c r="C27" s="21" t="inlineStr">
        <is>
          <t>Tủ
台</t>
        </is>
      </c>
      <c r="D27" s="23" t="n">
        <v>1</v>
      </c>
      <c r="E27" s="23" t="n">
        <v>203500000</v>
      </c>
      <c r="F27" s="24">
        <f>IF(OR(D27="",E27=""),"",ROUND(D27*E27,0))</f>
        <v/>
      </c>
      <c r="G27" s="25" t="inlineStr">
        <is>
          <t>ABB, Schneider; Acrel</t>
        </is>
      </c>
    </row>
    <row r="28" ht="54" customHeight="1">
      <c r="A28" s="26" t="n">
        <v>6</v>
      </c>
      <c r="B28" s="27" t="inlineStr">
        <is>
          <t>Tủ điều khiển biến tần tháp giải nhiệt ACPL-05 (tủ kiểu Rittal 1800×1200×800, đặt sàn)
冷却塔变频控制柜 ACPL-05（仿威图机柜1800×1200×800，落地式）</t>
        </is>
      </c>
      <c r="C28" s="26" t="inlineStr">
        <is>
          <t>Tủ
台</t>
        </is>
      </c>
      <c r="D28" s="28" t="n">
        <v>1</v>
      </c>
      <c r="E28" s="28" t="n">
        <v>181500000</v>
      </c>
      <c r="F28" s="29">
        <f>IF(OR(D28="",E28=""),"",ROUND(D28*E28,0))</f>
        <v/>
      </c>
      <c r="G28" s="30" t="inlineStr">
        <is>
          <t>ABB, Schneider; Acrel</t>
        </is>
      </c>
    </row>
    <row r="29" ht="54" customHeight="1">
      <c r="A29" s="21" t="n">
        <v>7</v>
      </c>
      <c r="B29" s="22" t="inlineStr">
        <is>
          <t>Tủ điều khiển biến tần tháp giải nhiệt ACPL-06 (tủ kiểu Rittal 1800×800×800, đặt sàn)
冷却塔变频控制柜 ACPL-06（仿威图机柜1800×800×800，落地式）</t>
        </is>
      </c>
      <c r="C29" s="21" t="inlineStr">
        <is>
          <t>Tủ
台</t>
        </is>
      </c>
      <c r="D29" s="23" t="n">
        <v>1</v>
      </c>
      <c r="E29" s="23" t="n">
        <v>165000000</v>
      </c>
      <c r="F29" s="24">
        <f>IF(OR(D29="",E29=""),"",ROUND(D29*E29,0))</f>
        <v/>
      </c>
      <c r="G29" s="25" t="inlineStr">
        <is>
          <t>ABB, Schneider; Acrel</t>
        </is>
      </c>
    </row>
    <row r="30" ht="54" customHeight="1">
      <c r="A30" s="26" t="n">
        <v>8</v>
      </c>
      <c r="B30" s="27" t="inlineStr">
        <is>
          <t>Tủ điều khiển van điện ACPL-07 (tủ kiểu Rittal 1800×800×800, đặt sàn)
电动阀门控制柜 ACPL-07（仿威图机柜1800×800×800，落地式）</t>
        </is>
      </c>
      <c r="C30" s="26" t="inlineStr">
        <is>
          <t>Tủ
台</t>
        </is>
      </c>
      <c r="D30" s="28" t="n">
        <v>1</v>
      </c>
      <c r="E30" s="28" t="n">
        <v>154000000</v>
      </c>
      <c r="F30" s="29">
        <f>IF(OR(D30="",E30=""),"",ROUND(D30*E30,0))</f>
        <v/>
      </c>
      <c r="G30" s="30" t="inlineStr">
        <is>
          <t>ABB, Schneider; Acrel</t>
        </is>
      </c>
    </row>
    <row r="31" ht="30" customHeight="1">
      <c r="A31" s="19" t="inlineStr">
        <is>
          <t>II</t>
        </is>
      </c>
      <c r="B31" s="20" t="inlineStr">
        <is>
          <t>Cáp điện, cáp điều khiển
电力电缆及控制线缆</t>
        </is>
      </c>
      <c r="C31" s="20" t="n"/>
      <c r="D31" s="20" t="n"/>
      <c r="E31" s="20" t="n"/>
      <c r="F31" s="20" t="n"/>
      <c r="G31" s="20" t="n"/>
    </row>
    <row r="32" ht="30" customHeight="1">
      <c r="A32" s="21" t="n">
        <v>9</v>
      </c>
      <c r="B32" s="22" t="inlineStr">
        <is>
          <t>Cáp điện động lực lõi đồng YJV-3×70+1×35
电力电缆 铜芯 YJV-3×70+1×35</t>
        </is>
      </c>
      <c r="C32" s="21" t="inlineStr">
        <is>
          <t>m
米</t>
        </is>
      </c>
      <c r="D32" s="23" t="n">
        <v>129</v>
      </c>
      <c r="E32" s="23" t="n">
        <v>1650000</v>
      </c>
      <c r="F32" s="24">
        <f>IF(OR(D32="",E32=""),"",ROUND(D32*E32,0))</f>
        <v/>
      </c>
      <c r="G32" s="25" t="inlineStr">
        <is>
          <t>Chengtiantai, Nanyang, LS, Taya</t>
        </is>
      </c>
    </row>
    <row r="33" ht="30" customHeight="1">
      <c r="A33" s="26" t="n">
        <v>10</v>
      </c>
      <c r="B33" s="27" t="inlineStr">
        <is>
          <t>Cáp điện động lực lõi đồng YJV-3×50+1×25
电力电缆 铜芯 YJV-3×50+1×25</t>
        </is>
      </c>
      <c r="C33" s="26" t="inlineStr">
        <is>
          <t>m
米</t>
        </is>
      </c>
      <c r="D33" s="28" t="n">
        <v>213</v>
      </c>
      <c r="E33" s="28" t="n">
        <v>1210000</v>
      </c>
      <c r="F33" s="29">
        <f>IF(OR(D33="",E33=""),"",ROUND(D33*E33,0))</f>
        <v/>
      </c>
      <c r="G33" s="30" t="inlineStr">
        <is>
          <t>Chengtiantai, Nanyang, LS, Taya</t>
        </is>
      </c>
    </row>
    <row r="34" ht="30" customHeight="1">
      <c r="A34" s="21" t="n">
        <v>11</v>
      </c>
      <c r="B34" s="22" t="inlineStr">
        <is>
          <t>Cáp điện động lực lõi đồng YJV-3×10+1×6
电力电缆 铜芯 YJV-3×10+1×6</t>
        </is>
      </c>
      <c r="C34" s="21" t="inlineStr">
        <is>
          <t>m
米</t>
        </is>
      </c>
      <c r="D34" s="23" t="n">
        <v>542</v>
      </c>
      <c r="E34" s="23" t="n">
        <v>462000</v>
      </c>
      <c r="F34" s="24">
        <f>IF(OR(D34="",E34=""),"",ROUND(D34*E34,0))</f>
        <v/>
      </c>
      <c r="G34" s="25" t="inlineStr">
        <is>
          <t>Chengtiantai, Nanyang, LS, Taya</t>
        </is>
      </c>
    </row>
    <row r="35" ht="30" customHeight="1">
      <c r="A35" s="26" t="n">
        <v>12</v>
      </c>
      <c r="B35" s="27" t="inlineStr">
        <is>
          <t>Cáp điện động lực lõi đồng YJV-5×2.5
电力电缆 铜芯 YJV-5×2.5</t>
        </is>
      </c>
      <c r="C35" s="26" t="inlineStr">
        <is>
          <t>m
米</t>
        </is>
      </c>
      <c r="D35" s="28" t="n">
        <v>58</v>
      </c>
      <c r="E35" s="28" t="n">
        <v>374000</v>
      </c>
      <c r="F35" s="29">
        <f>IF(OR(D35="",E35=""),"",ROUND(D35*E35,0))</f>
        <v/>
      </c>
      <c r="G35" s="30" t="inlineStr">
        <is>
          <t>Chengtiantai, Nanyang, LS, Taya</t>
        </is>
      </c>
    </row>
    <row r="36" ht="30" customHeight="1">
      <c r="A36" s="21" t="n">
        <v>13</v>
      </c>
      <c r="B36" s="22" t="inlineStr">
        <is>
          <t>Cáp điện động lực lõi đồng YJV-4×2.5
电力电缆 铜芯 YJV-4×2.5</t>
        </is>
      </c>
      <c r="C36" s="21" t="inlineStr">
        <is>
          <t>m
米</t>
        </is>
      </c>
      <c r="D36" s="23" t="n">
        <v>884</v>
      </c>
      <c r="E36" s="23" t="n">
        <v>297000</v>
      </c>
      <c r="F36" s="24">
        <f>IF(OR(D36="",E36=""),"",ROUND(D36*E36,0))</f>
        <v/>
      </c>
      <c r="G36" s="25" t="inlineStr">
        <is>
          <t>Chengtiantai, Nanyang, LS, Taya</t>
        </is>
      </c>
    </row>
    <row r="37" ht="30" customHeight="1">
      <c r="A37" s="26" t="n">
        <v>14</v>
      </c>
      <c r="B37" s="27" t="inlineStr">
        <is>
          <t>Cáp điện động lực lõi đồng YJV-3×2.5
电力电缆 铜芯 YJV-3×2.5</t>
        </is>
      </c>
      <c r="C37" s="26" t="inlineStr">
        <is>
          <t>m
米</t>
        </is>
      </c>
      <c r="D37" s="28" t="n">
        <v>87</v>
      </c>
      <c r="E37" s="28" t="n">
        <v>231000</v>
      </c>
      <c r="F37" s="29">
        <f>IF(OR(D37="",E37=""),"",ROUND(D37*E37,0))</f>
        <v/>
      </c>
      <c r="G37" s="30" t="inlineStr">
        <is>
          <t>Chengtiantai, Nanyang, LS, Taya</t>
        </is>
      </c>
    </row>
    <row r="38" ht="30" customHeight="1">
      <c r="A38" s="21" t="n">
        <v>15</v>
      </c>
      <c r="B38" s="22" t="inlineStr">
        <is>
          <t>Cáp điều khiển lõi đồng RVV-3×1.0
控制线缆 铜芯 RVV-3×1.0</t>
        </is>
      </c>
      <c r="C38" s="21" t="inlineStr">
        <is>
          <t>m
米</t>
        </is>
      </c>
      <c r="D38" s="23" t="n">
        <v>1031</v>
      </c>
      <c r="E38" s="23" t="n">
        <v>165000</v>
      </c>
      <c r="F38" s="24">
        <f>IF(OR(D38="",E38=""),"",ROUND(D38*E38,0))</f>
        <v/>
      </c>
      <c r="G38" s="25" t="inlineStr">
        <is>
          <t>Chengtiantai, Nanyang, LS, Taya</t>
        </is>
      </c>
    </row>
    <row r="39" ht="30" customHeight="1">
      <c r="A39" s="19" t="inlineStr">
        <is>
          <t>III</t>
        </is>
      </c>
      <c r="B39" s="20" t="inlineStr">
        <is>
          <t>Máng cáp, ống luồn dây, giá đỡ
线槽、线管及支吊架</t>
        </is>
      </c>
      <c r="C39" s="20" t="n"/>
      <c r="D39" s="20" t="n"/>
      <c r="E39" s="20" t="n"/>
      <c r="F39" s="20" t="n"/>
      <c r="G39" s="20" t="n"/>
    </row>
    <row r="40" ht="42" customHeight="1">
      <c r="A40" s="26" t="n">
        <v>16</v>
      </c>
      <c r="B40" s="27" t="inlineStr">
        <is>
          <t>Máng cáp thép mạ kẽm 800×200×1.5mm (gồm phụ kiện)
镀锌线槽 800×200×1.5mm（镀锌钢板，含配件）</t>
        </is>
      </c>
      <c r="C40" s="26" t="inlineStr">
        <is>
          <t>m
米</t>
        </is>
      </c>
      <c r="D40" s="28" t="n">
        <v>10</v>
      </c>
      <c r="E40" s="28" t="n">
        <v>1518000</v>
      </c>
      <c r="F40" s="29">
        <f>IF(OR(D40="",E40=""),"",ROUND(D40*E40,0))</f>
        <v/>
      </c>
      <c r="G40" s="30" t="inlineStr">
        <is>
          <t>Hàng trong nước
国产优质</t>
        </is>
      </c>
    </row>
    <row r="41" ht="42" customHeight="1">
      <c r="A41" s="21" t="n">
        <v>17</v>
      </c>
      <c r="B41" s="22" t="inlineStr">
        <is>
          <t>Máng cáp thép mạ kẽm 400×200×1.2mm (gồm phụ kiện)
镀锌线槽 400×200×1.2mm（镀锌钢板，含配件）</t>
        </is>
      </c>
      <c r="C41" s="21" t="inlineStr">
        <is>
          <t>m
米</t>
        </is>
      </c>
      <c r="D41" s="23" t="n">
        <v>18</v>
      </c>
      <c r="E41" s="23" t="n">
        <v>1320000</v>
      </c>
      <c r="F41" s="24">
        <f>IF(OR(D41="",E41=""),"",ROUND(D41*E41,0))</f>
        <v/>
      </c>
      <c r="G41" s="25" t="inlineStr">
        <is>
          <t>Hàng trong nước
国产优质</t>
        </is>
      </c>
    </row>
    <row r="42" ht="42" customHeight="1">
      <c r="A42" s="26" t="n">
        <v>18</v>
      </c>
      <c r="B42" s="27" t="inlineStr">
        <is>
          <t>Máng cáp thép mạ kẽm 300×150×1.2mm (gồm phụ kiện)
镀锌线槽 300×150×1.2mm（镀锌钢板，含配件）</t>
        </is>
      </c>
      <c r="C42" s="26" t="inlineStr">
        <is>
          <t>m
米</t>
        </is>
      </c>
      <c r="D42" s="28" t="n">
        <v>52</v>
      </c>
      <c r="E42" s="28" t="n">
        <v>880000</v>
      </c>
      <c r="F42" s="29">
        <f>IF(OR(D42="",E42=""),"",ROUND(D42*E42,0))</f>
        <v/>
      </c>
      <c r="G42" s="30" t="inlineStr">
        <is>
          <t>Hàng trong nước
国产优质</t>
        </is>
      </c>
    </row>
    <row r="43" ht="42" customHeight="1">
      <c r="A43" s="21" t="n">
        <v>19</v>
      </c>
      <c r="B43" s="22" t="inlineStr">
        <is>
          <t>Máng cáp thép mạ kẽm 200×100×1.0mm (gồm phụ kiện)
镀锌线槽 200×100×1.0mm（镀锌钢板，含配件）</t>
        </is>
      </c>
      <c r="C43" s="21" t="inlineStr">
        <is>
          <t>m
米</t>
        </is>
      </c>
      <c r="D43" s="23" t="n">
        <v>42</v>
      </c>
      <c r="E43" s="23" t="n">
        <v>550000</v>
      </c>
      <c r="F43" s="24">
        <f>IF(OR(D43="",E43=""),"",ROUND(D43*E43,0))</f>
        <v/>
      </c>
      <c r="G43" s="25" t="inlineStr">
        <is>
          <t>Hàng trong nước
国产优质</t>
        </is>
      </c>
    </row>
    <row r="44" ht="42" customHeight="1">
      <c r="A44" s="26" t="n">
        <v>20</v>
      </c>
      <c r="B44" s="27" t="inlineStr">
        <is>
          <t>Máng cáp thép mạ kẽm 150×100×1.0mm (gồm phụ kiện)
镀锌线槽 150×100×1.0mm（镀锌钢板，含配件）</t>
        </is>
      </c>
      <c r="C44" s="26" t="inlineStr">
        <is>
          <t>m
米</t>
        </is>
      </c>
      <c r="D44" s="28" t="n">
        <v>34</v>
      </c>
      <c r="E44" s="28" t="n">
        <v>517000</v>
      </c>
      <c r="F44" s="29">
        <f>IF(OR(D44="",E44=""),"",ROUND(D44*E44,0))</f>
        <v/>
      </c>
      <c r="G44" s="30" t="inlineStr">
        <is>
          <t>Hàng trong nước
国产优质</t>
        </is>
      </c>
    </row>
    <row r="45" ht="42" customHeight="1">
      <c r="A45" s="21" t="n">
        <v>21</v>
      </c>
      <c r="B45" s="22" t="inlineStr">
        <is>
          <t>Ống luồn dây điện PVC cứng U-PVC Φ25 (gồm phụ kiện)
PVC线管 U-PVC硬管 Φ25（含配件）</t>
        </is>
      </c>
      <c r="C45" s="21" t="inlineStr">
        <is>
          <t>m
米</t>
        </is>
      </c>
      <c r="D45" s="23" t="n">
        <v>104</v>
      </c>
      <c r="E45" s="23" t="n">
        <v>198000</v>
      </c>
      <c r="F45" s="24">
        <f>IF(OR(D45="",E45=""),"",ROUND(D45*E45,0))</f>
        <v/>
      </c>
      <c r="G45" s="25" t="inlineStr">
        <is>
          <t>Lesso, Rifeng</t>
        </is>
      </c>
    </row>
    <row r="46" ht="42" customHeight="1">
      <c r="A46" s="26" t="n">
        <v>22</v>
      </c>
      <c r="B46" s="27" t="inlineStr">
        <is>
          <t>Giá treo đỡ máng cáp, ống luồn dây (thép góc, ty ren)
线槽、线管支吊架（角钢、丝杆）</t>
        </is>
      </c>
      <c r="C46" s="26" t="inlineStr">
        <is>
          <t>kg
千克</t>
        </is>
      </c>
      <c r="D46" s="31" t="n">
        <v>610.7</v>
      </c>
      <c r="E46" s="28" t="n">
        <v>275000</v>
      </c>
      <c r="F46" s="29">
        <f>IF(OR(D46="",E46=""),"",ROUND(D46*E46,0))</f>
        <v/>
      </c>
      <c r="G46" s="30" t="inlineStr">
        <is>
          <t>Tiêu chuẩn GB
国标</t>
        </is>
      </c>
    </row>
    <row r="47" ht="30" customHeight="1">
      <c r="A47" s="19" t="inlineStr">
        <is>
          <t>IV</t>
        </is>
      </c>
      <c r="B47" s="20" t="inlineStr">
        <is>
          <t>Vật tư phụ và đấu nối
安装辅材及接线</t>
        </is>
      </c>
      <c r="C47" s="20" t="n"/>
      <c r="D47" s="20" t="n"/>
      <c r="E47" s="20" t="n"/>
      <c r="F47" s="20" t="n"/>
      <c r="G47" s="20" t="n"/>
    </row>
    <row r="48" ht="42" customHeight="1">
      <c r="A48" s="21" t="n">
        <v>23</v>
      </c>
      <c r="B48" s="22" t="inlineStr">
        <is>
          <t>Vật tư phụ lắp đặt (đầu cos, dây rút, băng keo điện...)
安装辅材（线耳、扎带、电工胶布等）</t>
        </is>
      </c>
      <c r="C48" s="21" t="inlineStr">
        <is>
          <t>Gói
项</t>
        </is>
      </c>
      <c r="D48" s="23" t="n">
        <v>1</v>
      </c>
      <c r="E48" s="23" t="n">
        <v>110000000</v>
      </c>
      <c r="F48" s="24">
        <f>IF(OR(D48="",E48=""),"",ROUND(D48*E48,0))</f>
        <v/>
      </c>
      <c r="G48" s="25" t="inlineStr"/>
    </row>
    <row r="49" ht="30" customHeight="1">
      <c r="A49" s="26" t="n">
        <v>24</v>
      </c>
      <c r="B49" s="27" t="inlineStr">
        <is>
          <t>Đấu nối dây cụm máy làm lạnh nước (chiller)
冷水机组接线</t>
        </is>
      </c>
      <c r="C49" s="26" t="inlineStr">
        <is>
          <t>Máy
台</t>
        </is>
      </c>
      <c r="D49" s="28" t="n">
        <v>3</v>
      </c>
      <c r="E49" s="28" t="n">
        <v>22000000</v>
      </c>
      <c r="F49" s="29">
        <f>IF(OR(D49="",E49=""),"",ROUND(D49*E49,0))</f>
        <v/>
      </c>
      <c r="G49" s="30" t="inlineStr"/>
    </row>
    <row r="50" ht="20" customHeight="1">
      <c r="A50" s="32" t="inlineStr">
        <is>
          <t>Cộng tiền hàng (chưa VAT) / 货款合计（不含税）</t>
        </is>
      </c>
      <c r="B50" s="32" t="n"/>
      <c r="C50" s="32" t="n"/>
      <c r="D50" s="32" t="n"/>
      <c r="E50" s="32" t="n"/>
      <c r="F50" s="33">
        <f>SUM(F22:F49)</f>
        <v/>
      </c>
      <c r="G50" s="34" t="n"/>
    </row>
    <row r="51" ht="20" customHeight="1">
      <c r="A51" s="35" t="inlineStr">
        <is>
          <t>Thuế GTGT (VAT) / 增值税</t>
        </is>
      </c>
      <c r="B51" s="35" t="n"/>
      <c r="C51" s="35" t="n"/>
      <c r="D51" s="35" t="n"/>
      <c r="E51" s="36" t="n">
        <v>0.1</v>
      </c>
      <c r="F51" s="37">
        <f>ROUND(F50*E51,0)</f>
        <v/>
      </c>
    </row>
    <row r="52" ht="24" customHeight="1">
      <c r="A52" s="38" t="inlineStr">
        <is>
          <t>TỔNG CỘNG THANH TOÁN / 付款总额</t>
        </is>
      </c>
      <c r="B52" s="38" t="n"/>
      <c r="C52" s="38" t="n"/>
      <c r="D52" s="38" t="n"/>
      <c r="E52" s="38" t="n"/>
      <c r="F52" s="39">
        <f>F50+F51</f>
        <v/>
      </c>
      <c r="G52" s="40" t="n"/>
    </row>
    <row r="53" ht="34" customHeight="1">
      <c r="A53" s="41" t="inlineStr">
        <is>
          <t>Bằng chữ: Ba tỷ ba trăm bảy mươi chín triệu sáu trăm chín mươi ba nghìn ba trăm năm mươi đồng.
大写金额：叁拾叁亿柒仟玖佰陆拾玖万叁仟叁佰伍拾越南盾整</t>
        </is>
      </c>
      <c r="B53" s="41" t="n"/>
      <c r="C53" s="41" t="n"/>
      <c r="D53" s="41" t="n"/>
      <c r="E53" s="41" t="n"/>
      <c r="F53" s="41" t="n"/>
      <c r="G53" s="41" t="n"/>
    </row>
    <row r="54" ht="12" customHeight="1"/>
    <row r="55" ht="20" customHeight="1">
      <c r="A55" s="42" t="inlineStr">
        <is>
          <t>ĐIỀU KHOẢN THƯƠNG MẠI / 商务条款</t>
        </is>
      </c>
      <c r="B55" s="42" t="n"/>
      <c r="C55" s="42" t="n"/>
      <c r="D55" s="42" t="n"/>
      <c r="E55" s="42" t="n"/>
      <c r="F55" s="42" t="n"/>
      <c r="G55" s="42" t="n"/>
    </row>
    <row r="56" ht="42.5" customHeight="1">
      <c r="A56" s="43" t="inlineStr">
        <is>
          <t>1. Đơn giá trên đã bao gồm vật tư và nhân công lắp đặt, chưa bao gồm thuế GTGT. Khối lượng quyết toán theo thực tế thi công. Toàn bộ cáp điện là cáp lõi đồng.
    以上单价已含材料费及人工安装费，不含增值税。工程量按实际结算。本项目所有电缆均为铜芯电缆。</t>
        </is>
      </c>
      <c r="B56" s="43" t="n"/>
      <c r="C56" s="43" t="n"/>
      <c r="D56" s="43" t="n"/>
      <c r="E56" s="43" t="n"/>
      <c r="F56" s="43" t="n"/>
      <c r="G56" s="43" t="n"/>
    </row>
    <row r="57" ht="30" customHeight="1">
      <c r="A57" s="43" t="inlineStr">
        <is>
          <t>2. Hiệu lực báo giá: 30 ngày kể từ ngày báo giá.
    报价有效期：自报价之日起30天。</t>
        </is>
      </c>
      <c r="B57" s="43" t="n"/>
      <c r="C57" s="43" t="n"/>
      <c r="D57" s="43" t="n"/>
      <c r="E57" s="43" t="n"/>
      <c r="F57" s="43" t="n"/>
      <c r="G57" s="43" t="n"/>
    </row>
    <row r="58" ht="30" customHeight="1">
      <c r="A58" s="43" t="inlineStr">
        <is>
          <t>3. Thời gian giao hàng: theo tiến độ thi công thống nhất giữa hai bên.
    交货时间：按双方确认的施工进度。</t>
        </is>
      </c>
      <c r="B58" s="43" t="n"/>
      <c r="C58" s="43" t="n"/>
      <c r="D58" s="43" t="n"/>
      <c r="E58" s="43" t="n"/>
      <c r="F58" s="43" t="n"/>
      <c r="G58" s="43" t="n"/>
    </row>
    <row r="59" ht="30" customHeight="1">
      <c r="A59" s="43" t="inlineStr">
        <is>
          <t>4. Địa điểm giao hàng: tại công trình MEGA.
    交货地点：MEGA项目现场。</t>
        </is>
      </c>
      <c r="B59" s="43" t="n"/>
      <c r="C59" s="43" t="n"/>
      <c r="D59" s="43" t="n"/>
      <c r="E59" s="43" t="n"/>
      <c r="F59" s="43" t="n"/>
      <c r="G59" s="43" t="n"/>
    </row>
    <row r="60" ht="30" customHeight="1">
      <c r="A60" s="43" t="inlineStr">
        <is>
          <t>5. Thanh toán: chuyển khoản, theo tiến độ thỏa thuận trong hợp đồng.
    付款方式：银行转账，按合同约定的进度付款。</t>
        </is>
      </c>
      <c r="B60" s="43" t="n"/>
      <c r="C60" s="43" t="n"/>
      <c r="D60" s="43" t="n"/>
      <c r="E60" s="43" t="n"/>
      <c r="F60" s="43" t="n"/>
      <c r="G60" s="43" t="n"/>
    </row>
    <row r="61" ht="42.5" customHeight="1">
      <c r="A61" s="43" t="inlineStr">
        <is>
          <t>6. Thông tin chuyển khoản: Số TK 1066217478 – Ngân hàng TMCP Ngoại thương Việt Nam (Vietcombank) – Chủ tài khoản: CT TNHH KY THUAT CONG TRINH BLT.
    银行账户：1066217478，户名：CT TNHH KY THUAT CONG TRINH BLT。</t>
        </is>
      </c>
      <c r="B61" s="43" t="n"/>
      <c r="C61" s="43" t="n"/>
      <c r="D61" s="43" t="n"/>
      <c r="E61" s="43" t="n"/>
      <c r="F61" s="43" t="n"/>
      <c r="G61" s="43" t="n"/>
    </row>
    <row r="62" ht="6" customHeight="1"/>
    <row r="63" ht="30" customHeight="1">
      <c r="A63" s="17" t="inlineStr">
        <is>
          <t>Rất mong nhận được sự hợp tác của Quý khách. Trân trọng!
期待与贵方合作，此致敬礼！</t>
        </is>
      </c>
      <c r="B63" s="17" t="n"/>
      <c r="C63" s="17" t="n"/>
      <c r="D63" s="17" t="n"/>
      <c r="E63" s="17" t="n"/>
      <c r="F63" s="17" t="n"/>
      <c r="G63" s="17" t="n"/>
    </row>
    <row r="64" ht="12" customHeight="1"/>
    <row r="65" ht="30" customHeight="1">
      <c r="A65" s="44" t="inlineStr">
        <is>
          <t>XÁC NHẬN CỦA KHÁCH HÀNG
客户确认</t>
        </is>
      </c>
      <c r="B65" s="44" t="n"/>
      <c r="C65" s="44" t="n"/>
      <c r="E65" s="44" t="inlineStr">
        <is>
          <t>GIÁM ĐỐC
总经理</t>
        </is>
      </c>
      <c r="F65" s="44" t="n"/>
      <c r="G65" s="44" t="n"/>
    </row>
    <row r="66" ht="15" customHeight="1">
      <c r="A66" s="45" t="inlineStr">
        <is>
          <t>(Ký, ghi rõ họ tên) （签字并注明姓名）</t>
        </is>
      </c>
      <c r="B66" s="45" t="n"/>
      <c r="C66" s="45" t="n"/>
      <c r="E66" s="45" t="inlineStr">
        <is>
          <t>(Ký, đóng dấu, ghi rõ họ tên) （签字盖章并注明姓名）</t>
        </is>
      </c>
      <c r="F66" s="45" t="n"/>
      <c r="G66" s="45" t="n"/>
    </row>
    <row r="67" ht="16" customHeight="1"/>
    <row r="68" ht="16" customHeight="1"/>
    <row r="69" ht="16" customHeight="1"/>
    <row r="70" ht="16" customHeight="1"/>
    <row r="71" ht="20" customHeight="1">
      <c r="E71" s="46" t="inlineStr">
        <is>
          <t>HỒ VĂN BÌNH</t>
        </is>
      </c>
      <c r="F71" s="46" t="n"/>
      <c r="G71" s="46" t="n"/>
    </row>
  </sheetData>
  <mergeCells count="39">
    <mergeCell ref="B2:G2"/>
    <mergeCell ref="A66:C66"/>
    <mergeCell ref="E13:G13"/>
    <mergeCell ref="A17:G17"/>
    <mergeCell ref="A8:G8"/>
    <mergeCell ref="A53:G53"/>
    <mergeCell ref="B1:G1"/>
    <mergeCell ref="E65:G65"/>
    <mergeCell ref="A12:C12"/>
    <mergeCell ref="A19:G19"/>
    <mergeCell ref="E15:G15"/>
    <mergeCell ref="A63:G63"/>
    <mergeCell ref="A58:G58"/>
    <mergeCell ref="A9:G9"/>
    <mergeCell ref="E11:G11"/>
    <mergeCell ref="A14:C14"/>
    <mergeCell ref="A59:G59"/>
    <mergeCell ref="A51:D51"/>
    <mergeCell ref="A60:G60"/>
    <mergeCell ref="A50:E50"/>
    <mergeCell ref="A13:C13"/>
    <mergeCell ref="A61:G61"/>
    <mergeCell ref="E66:G66"/>
    <mergeCell ref="B4:G4"/>
    <mergeCell ref="E12:G12"/>
    <mergeCell ref="A15:C15"/>
    <mergeCell ref="E71:G71"/>
    <mergeCell ref="B3:G3"/>
    <mergeCell ref="B47:G47"/>
    <mergeCell ref="A11:C11"/>
    <mergeCell ref="E14:G14"/>
    <mergeCell ref="B22:G22"/>
    <mergeCell ref="A56:G56"/>
    <mergeCell ref="A52:E52"/>
    <mergeCell ref="B31:G31"/>
    <mergeCell ref="A55:G55"/>
    <mergeCell ref="A57:G57"/>
    <mergeCell ref="A65:C65"/>
    <mergeCell ref="B39:G39"/>
  </mergeCells>
  <printOptions horizontalCentered="1"/>
  <pageMargins left="0.4" right="0.4" top="0.45" bottom="0.6" header="0.5" footer="0.25"/>
  <pageSetup orientation="portrait" paperSize="9" fitToHeight="0" fitToWidth="1"/>
  <headerFooter>
    <oddHeader/>
    <oddFooter>&amp;C&amp;"Arial,Regular"&amp;8 &amp;K7F7F7FCÔNG TY TNHH KỸ THUẬT CÔNG TRÌNH BLT  •  0984 586 089  •  Trang &amp;P/&amp;N</oddFooter>
    <evenHeader/>
    <evenFooter/>
    <firstHeader/>
    <firstFooter/>
  </headerFooter>
  <rowBreaks count="1" manualBreakCount="1">
    <brk id="49"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2026-10-10T09:01:56Z</dcterms:created>
  <dcterms:modified xmlns:dcterms="http://purl.org/dc/terms/" xmlns:xsi="http://www.w3.org/2001/XMLSchema-instance" xsi:type="dcterms:W3CDTF">2026-10-10T09:01:56Z</dcterms:modified>
</cp:coreProperties>
</file>
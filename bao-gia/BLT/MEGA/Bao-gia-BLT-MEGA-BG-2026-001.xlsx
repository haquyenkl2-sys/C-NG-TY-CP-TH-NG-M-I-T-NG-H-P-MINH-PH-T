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Báo giá" sheetId="1" state="visible" r:id="rId1"/>
    <sheet xmlns:r="http://schemas.openxmlformats.org/officeDocument/2006/relationships" name="Thông tin công ty" sheetId="2" state="visible" r:id="rId2"/>
    <sheet xmlns:r="http://schemas.openxmlformats.org/officeDocument/2006/relationships" name="Hướng dẫn" sheetId="3" state="visible" r:id="rId3"/>
  </sheets>
  <definedNames>
    <definedName name="_xlnm.Print_Titles" localSheetId="0">'Báo giá'!$17:$17</definedName>
    <definedName name="_xlnm.Print_Area" localSheetId="0">'Báo giá'!$A$1:$G$63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dd/mm/yyyy"/>
    <numFmt numFmtId="165" formatCode="#,##0.##"/>
    <numFmt numFmtId="166" formatCode="#,##0;\-#,##0;\-"/>
  </numFmts>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4346E"/>
      <sz val="14"/>
    </font>
    <font>
      <name val="Arial"/>
      <charset val="1"/>
      <family val="0"/>
      <color rgb="FF000000"/>
      <sz val="10"/>
    </font>
    <font>
      <name val="Arial"/>
      <charset val="1"/>
      <family val="0"/>
      <b val="1"/>
      <color rgb="FF14346E"/>
      <sz val="20"/>
    </font>
    <font>
      <name val="Arial"/>
      <charset val="1"/>
      <family val="0"/>
      <i val="1"/>
      <color rgb="FF000000"/>
      <sz val="10"/>
    </font>
    <font>
      <name val="Arial"/>
      <charset val="1"/>
      <family val="0"/>
      <b val="1"/>
      <color rgb="FF000000"/>
      <sz val="11"/>
    </font>
    <font>
      <name val="Arial"/>
      <charset val="1"/>
      <family val="0"/>
      <color rgb="FF000000"/>
      <sz val="11"/>
    </font>
    <font>
      <name val="Arial"/>
      <charset val="1"/>
      <family val="0"/>
      <b val="1"/>
      <color rgb="FFFFFFFF"/>
      <sz val="10"/>
    </font>
    <font>
      <name val="Arial"/>
      <charset val="1"/>
      <family val="0"/>
      <b val="1"/>
      <color rgb="FF000000"/>
      <sz val="10"/>
    </font>
    <font>
      <name val="Arial"/>
      <charset val="1"/>
      <family val="0"/>
      <b val="1"/>
      <i val="1"/>
      <color rgb="FF000000"/>
      <sz val="10"/>
    </font>
    <font>
      <name val="Arial"/>
      <charset val="1"/>
      <family val="0"/>
      <b val="1"/>
      <color rgb="FF14346E"/>
      <sz val="11"/>
    </font>
    <font>
      <name val="Arial"/>
      <charset val="1"/>
      <family val="0"/>
      <i val="1"/>
      <color rgb="FF000000"/>
      <sz val="9"/>
    </font>
    <font>
      <name val="Arial"/>
      <charset val="1"/>
      <family val="0"/>
      <b val="1"/>
      <color rgb="FF14346E"/>
      <sz val="13"/>
    </font>
    <font>
      <name val="Arial"/>
      <charset val="1"/>
      <family val="0"/>
      <color rgb="FF0000FF"/>
      <sz val="11"/>
    </font>
    <font>
      <name val="Arial"/>
      <charset val="1"/>
      <family val="0"/>
      <i val="1"/>
      <color rgb="FF7F7F7F"/>
      <sz val="10"/>
    </font>
    <font>
      <name val="Arial"/>
      <charset val="1"/>
      <family val="0"/>
      <color rgb="FF000000"/>
      <sz val="9.5"/>
    </font>
  </fonts>
  <fills count="6">
    <fill>
      <patternFill/>
    </fill>
    <fill>
      <patternFill patternType="gray125"/>
    </fill>
    <fill>
      <patternFill patternType="solid">
        <fgColor rgb="FF14346E"/>
        <bgColor rgb="FF333399"/>
      </patternFill>
    </fill>
    <fill>
      <patternFill patternType="solid">
        <fgColor rgb="FFF3F6FB"/>
        <bgColor rgb="FFFFFFFF"/>
      </patternFill>
    </fill>
    <fill>
      <patternFill patternType="solid">
        <fgColor rgb="FFFCEFCF"/>
        <bgColor rgb="FFFFF2CC"/>
      </patternFill>
    </fill>
    <fill>
      <patternFill patternType="solid">
        <fgColor rgb="FFFFF2CC"/>
        <bgColor rgb="FFFCEFCF"/>
      </patternFill>
    </fill>
  </fills>
  <borders count="7">
    <border>
      <left/>
      <right/>
      <top/>
      <bottom/>
      <diagonal/>
    </border>
    <border>
      <left/>
      <right/>
      <top/>
      <bottom style="medium">
        <color rgb="FFD4A028"/>
      </bottom>
      <diagonal/>
    </border>
    <border>
      <left style="thin">
        <color rgb="FF808080"/>
      </left>
      <right style="thin">
        <color rgb="FF808080"/>
      </right>
      <top style="thin">
        <color rgb="FF808080"/>
      </top>
      <bottom style="thin">
        <color rgb="FF808080"/>
      </bottom>
      <diagonal/>
    </border>
    <border>
      <left/>
      <right/>
      <top style="thin">
        <color rgb="FF808080"/>
      </top>
      <bottom/>
      <diagonal/>
    </border>
    <border>
      <left/>
      <right style="thin">
        <color rgb="FF808080"/>
      </right>
      <top style="thin">
        <color rgb="FF808080"/>
      </top>
      <bottom/>
      <diagonal/>
    </border>
    <border>
      <left/>
      <right/>
      <top style="thin">
        <color rgb="FF808080"/>
      </top>
      <bottom style="thin">
        <color rgb="FF808080"/>
      </bottom>
      <diagonal/>
    </border>
    <border>
      <left/>
      <right style="thin">
        <color rgb="FF808080"/>
      </right>
      <top style="thin">
        <color rgb="FF808080"/>
      </top>
      <bottom style="thin">
        <color rgb="FF80808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5">
    <xf numFmtId="0" fontId="0" fillId="0" borderId="0" applyAlignment="1" pivotButton="0" quotePrefix="0" xfId="0">
      <alignment horizontal="general" vertical="bottom"/>
    </xf>
    <xf numFmtId="0" fontId="4" fillId="0" borderId="0" applyAlignment="1" pivotButton="0" quotePrefix="0" xfId="0">
      <alignment horizontal="center" vertical="center" wrapText="1"/>
    </xf>
    <xf numFmtId="0" fontId="5" fillId="0" borderId="0" applyAlignment="1" pivotButton="0" quotePrefix="0" xfId="0">
      <alignment horizontal="center" vertical="center" wrapText="1"/>
    </xf>
    <xf numFmtId="0" fontId="0" fillId="0" borderId="1" applyAlignment="1" pivotButton="0" quotePrefix="0" xfId="0">
      <alignment horizontal="general" vertical="bottom"/>
    </xf>
    <xf numFmtId="0" fontId="6" fillId="0"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0" borderId="0" applyAlignment="1" pivotButton="0" quotePrefix="0" xfId="0">
      <alignment horizontal="right" vertical="center" indent="1"/>
    </xf>
    <xf numFmtId="0" fontId="8" fillId="0" borderId="0" applyAlignment="1" pivotButton="0" quotePrefix="0" xfId="0">
      <alignment horizontal="left" vertical="center" wrapText="1"/>
    </xf>
    <xf numFmtId="0" fontId="9" fillId="0" borderId="0" applyAlignment="1" pivotButton="0" quotePrefix="0" xfId="0">
      <alignment horizontal="left" vertical="center" wrapText="1"/>
    </xf>
    <xf numFmtId="0" fontId="8" fillId="0" borderId="0" applyAlignment="1" pivotButton="0" quotePrefix="0" xfId="0">
      <alignment horizontal="left" vertical="center" wrapText="1"/>
    </xf>
    <xf numFmtId="164" fontId="9" fillId="0" borderId="0" applyAlignment="1" pivotButton="0" quotePrefix="0" xfId="0">
      <alignment horizontal="left" vertical="center" wrapText="1"/>
    </xf>
    <xf numFmtId="0" fontId="7" fillId="0" borderId="0" applyAlignment="1" pivotButton="0" quotePrefix="0" xfId="0">
      <alignment horizontal="left" vertical="center" wrapText="1"/>
    </xf>
    <xf numFmtId="0" fontId="10" fillId="2" borderId="2" applyAlignment="1" pivotButton="0" quotePrefix="0" xfId="0">
      <alignment horizontal="center" vertical="center" wrapText="1"/>
    </xf>
    <xf numFmtId="0" fontId="5" fillId="0" borderId="2" applyAlignment="1" pivotButton="0" quotePrefix="0" xfId="0">
      <alignment horizontal="center" vertical="center" wrapText="1"/>
    </xf>
    <xf numFmtId="0" fontId="5" fillId="0" borderId="2" applyAlignment="1" pivotButton="0" quotePrefix="0" xfId="0">
      <alignment horizontal="left" vertical="center" wrapText="1"/>
    </xf>
    <xf numFmtId="165" fontId="5" fillId="0" borderId="2" applyAlignment="1" pivotButton="0" quotePrefix="0" xfId="0">
      <alignment horizontal="right" vertical="center"/>
    </xf>
    <xf numFmtId="166" fontId="5" fillId="0" borderId="2" applyAlignment="1" pivotButton="0" quotePrefix="0" xfId="0">
      <alignment horizontal="right" vertical="center"/>
    </xf>
    <xf numFmtId="0" fontId="5" fillId="3" borderId="2" applyAlignment="1" pivotButton="0" quotePrefix="0" xfId="0">
      <alignment horizontal="center" vertical="center" wrapText="1"/>
    </xf>
    <xf numFmtId="0" fontId="5" fillId="3" borderId="2" applyAlignment="1" pivotButton="0" quotePrefix="0" xfId="0">
      <alignment horizontal="left" vertical="center" wrapText="1"/>
    </xf>
    <xf numFmtId="165" fontId="5" fillId="3" borderId="2" applyAlignment="1" pivotButton="0" quotePrefix="0" xfId="0">
      <alignment horizontal="right" vertical="center"/>
    </xf>
    <xf numFmtId="166" fontId="5" fillId="3" borderId="2" applyAlignment="1" pivotButton="0" quotePrefix="0" xfId="0">
      <alignment horizontal="right" vertical="center"/>
    </xf>
    <xf numFmtId="0" fontId="11" fillId="0" borderId="2" applyAlignment="1" pivotButton="0" quotePrefix="0" xfId="0">
      <alignment horizontal="right" vertical="center"/>
    </xf>
    <xf numFmtId="0" fontId="0" fillId="0" borderId="2" applyAlignment="1" pivotButton="0" quotePrefix="0" xfId="0">
      <alignment horizontal="general" vertical="bottom"/>
    </xf>
    <xf numFmtId="166" fontId="11" fillId="0" borderId="2" applyAlignment="1" pivotButton="0" quotePrefix="0" xfId="0">
      <alignment horizontal="right" vertical="center"/>
    </xf>
    <xf numFmtId="9" fontId="11" fillId="0" borderId="2" applyAlignment="1" pivotButton="0" quotePrefix="0" xfId="0">
      <alignment horizontal="center" vertical="center" wrapText="1"/>
    </xf>
    <xf numFmtId="0" fontId="8" fillId="4" borderId="2" applyAlignment="1" pivotButton="0" quotePrefix="0" xfId="0">
      <alignment horizontal="right" vertical="center"/>
    </xf>
    <xf numFmtId="0" fontId="0" fillId="4" borderId="2" applyAlignment="1" pivotButton="0" quotePrefix="0" xfId="0">
      <alignment horizontal="general" vertical="bottom"/>
    </xf>
    <xf numFmtId="166" fontId="8" fillId="4" borderId="2" applyAlignment="1" pivotButton="0" quotePrefix="0" xfId="0">
      <alignment horizontal="right" vertical="center"/>
    </xf>
    <xf numFmtId="0" fontId="12" fillId="0" borderId="0" applyAlignment="1" pivotButton="0" quotePrefix="0" xfId="0">
      <alignment horizontal="left" vertical="center" wrapText="1"/>
    </xf>
    <xf numFmtId="0" fontId="13" fillId="0" borderId="0" applyAlignment="1" pivotButton="0" quotePrefix="0" xfId="0">
      <alignment horizontal="left" vertical="center" wrapText="1"/>
    </xf>
    <xf numFmtId="0" fontId="5" fillId="0" borderId="0" applyAlignment="1" pivotButton="0" quotePrefix="0" xfId="0">
      <alignment horizontal="left" vertical="center" wrapText="1"/>
    </xf>
    <xf numFmtId="0" fontId="8" fillId="0" borderId="0" applyAlignment="1" pivotButton="0" quotePrefix="0" xfId="0">
      <alignment horizontal="center" vertical="center" wrapText="1"/>
    </xf>
    <xf numFmtId="0" fontId="14" fillId="0" borderId="0" applyAlignment="1" pivotButton="0" quotePrefix="0" xfId="0">
      <alignment horizontal="center" vertical="center" wrapText="1"/>
    </xf>
    <xf numFmtId="0" fontId="15" fillId="0" borderId="0" applyAlignment="1" pivotButton="0" quotePrefix="0" xfId="0">
      <alignment horizontal="general" vertical="bottom"/>
    </xf>
    <xf numFmtId="0" fontId="8" fillId="0" borderId="0" applyAlignment="1" pivotButton="0" quotePrefix="0" xfId="0">
      <alignment horizontal="general" vertical="bottom"/>
    </xf>
    <xf numFmtId="0" fontId="16" fillId="5" borderId="2" applyAlignment="1" pivotButton="0" quotePrefix="0" xfId="0">
      <alignment horizontal="left" vertical="center" wrapText="1"/>
    </xf>
    <xf numFmtId="0" fontId="17" fillId="0" borderId="0" applyAlignment="1" pivotButton="0" quotePrefix="0" xfId="0">
      <alignment horizontal="general" vertical="bottom"/>
    </xf>
    <xf numFmtId="0" fontId="4" fillId="0" borderId="0" applyAlignment="1" pivotButton="0" quotePrefix="0" xfId="0">
      <alignment horizontal="general" vertical="center" wrapText="1"/>
    </xf>
    <xf numFmtId="0" fontId="0" fillId="0" borderId="0" applyAlignment="1" pivotButton="0" quotePrefix="0" xfId="0">
      <alignment horizontal="general" vertical="center" wrapText="1"/>
    </xf>
    <xf numFmtId="0" fontId="8" fillId="0" borderId="0" applyAlignment="1" pivotButton="0" quotePrefix="0" xfId="0">
      <alignment horizontal="general" vertical="center" wrapText="1"/>
    </xf>
    <xf numFmtId="0" fontId="5" fillId="0" borderId="0"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center" vertical="center" wrapText="1"/>
    </xf>
    <xf numFmtId="0" fontId="18" fillId="0" borderId="0" applyAlignment="1" pivotButton="0" quotePrefix="0" xfId="0">
      <alignment horizontal="center" vertical="center" wrapText="1"/>
    </xf>
    <xf numFmtId="0" fontId="0" fillId="0" borderId="1" applyAlignment="1" pivotButton="0" quotePrefix="0" xfId="0">
      <alignment horizontal="general" vertical="bottom"/>
    </xf>
    <xf numFmtId="0" fontId="6" fillId="0"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0" borderId="0" applyAlignment="1" pivotButton="0" quotePrefix="0" xfId="0">
      <alignment horizontal="right" vertical="center" indent="1"/>
    </xf>
    <xf numFmtId="0" fontId="8" fillId="0" borderId="0" applyAlignment="1" pivotButton="0" quotePrefix="0" xfId="0">
      <alignment horizontal="left" vertical="center" wrapText="1"/>
    </xf>
    <xf numFmtId="0" fontId="9" fillId="0" borderId="0" applyAlignment="1" pivotButton="0" quotePrefix="0" xfId="0">
      <alignment horizontal="left" vertical="center" wrapText="1"/>
    </xf>
    <xf numFmtId="164" fontId="9" fillId="0" borderId="0" applyAlignment="1" pivotButton="0" quotePrefix="0" xfId="0">
      <alignment horizontal="left" vertical="center" wrapText="1"/>
    </xf>
    <xf numFmtId="0" fontId="7" fillId="0" borderId="0" applyAlignment="1" pivotButton="0" quotePrefix="0" xfId="0">
      <alignment horizontal="left" vertical="center" wrapText="1"/>
    </xf>
    <xf numFmtId="0" fontId="10" fillId="2" borderId="2" applyAlignment="1" pivotButton="0" quotePrefix="0" xfId="0">
      <alignment horizontal="center" vertical="center" wrapText="1"/>
    </xf>
    <xf numFmtId="0" fontId="5" fillId="0" borderId="2" applyAlignment="1" pivotButton="0" quotePrefix="0" xfId="0">
      <alignment horizontal="center" vertical="center" wrapText="1"/>
    </xf>
    <xf numFmtId="0" fontId="5" fillId="0" borderId="2" applyAlignment="1" pivotButton="0" quotePrefix="0" xfId="0">
      <alignment horizontal="left" vertical="center" wrapText="1"/>
    </xf>
    <xf numFmtId="3" fontId="5" fillId="0" borderId="2" applyAlignment="1" pivotButton="0" quotePrefix="0" xfId="0">
      <alignment horizontal="right" vertical="center"/>
    </xf>
    <xf numFmtId="166" fontId="5" fillId="0" borderId="2" applyAlignment="1" pivotButton="0" quotePrefix="0" xfId="0">
      <alignment horizontal="right" vertical="center"/>
    </xf>
    <xf numFmtId="0" fontId="5" fillId="3" borderId="2" applyAlignment="1" pivotButton="0" quotePrefix="0" xfId="0">
      <alignment horizontal="center" vertical="center" wrapText="1"/>
    </xf>
    <xf numFmtId="0" fontId="5" fillId="3" borderId="2" applyAlignment="1" pivotButton="0" quotePrefix="0" xfId="0">
      <alignment horizontal="left" vertical="center" wrapText="1"/>
    </xf>
    <xf numFmtId="3" fontId="5" fillId="3" borderId="2" applyAlignment="1" pivotButton="0" quotePrefix="0" xfId="0">
      <alignment horizontal="right" vertical="center"/>
    </xf>
    <xf numFmtId="166" fontId="5" fillId="3" borderId="2" applyAlignment="1" pivotButton="0" quotePrefix="0" xfId="0">
      <alignment horizontal="right" vertical="center"/>
    </xf>
    <xf numFmtId="165" fontId="5" fillId="3" borderId="2" applyAlignment="1" pivotButton="0" quotePrefix="0" xfId="0">
      <alignment horizontal="right" vertical="center"/>
    </xf>
    <xf numFmtId="0" fontId="11" fillId="0" borderId="2" applyAlignment="1" pivotButton="0" quotePrefix="0" xfId="0">
      <alignment horizontal="right" vertical="center"/>
    </xf>
    <xf numFmtId="0" fontId="0" fillId="0" borderId="5" pivotButton="0" quotePrefix="0" xfId="0"/>
    <xf numFmtId="0" fontId="0" fillId="0" borderId="6" pivotButton="0" quotePrefix="0" xfId="0"/>
    <xf numFmtId="0" fontId="0" fillId="0" borderId="2" applyAlignment="1" pivotButton="0" quotePrefix="0" xfId="0">
      <alignment horizontal="general" vertical="bottom"/>
    </xf>
    <xf numFmtId="166" fontId="11" fillId="0" borderId="2" applyAlignment="1" pivotButton="0" quotePrefix="0" xfId="0">
      <alignment horizontal="right" vertical="center"/>
    </xf>
    <xf numFmtId="9" fontId="11" fillId="0" borderId="2" applyAlignment="1" pivotButton="0" quotePrefix="0" xfId="0">
      <alignment horizontal="center" vertical="center" wrapText="1"/>
    </xf>
    <xf numFmtId="0" fontId="8" fillId="4" borderId="2" applyAlignment="1" pivotButton="0" quotePrefix="0" xfId="0">
      <alignment horizontal="right" vertical="center"/>
    </xf>
    <xf numFmtId="0" fontId="0" fillId="4" borderId="2" applyAlignment="1" pivotButton="0" quotePrefix="0" xfId="0">
      <alignment horizontal="general" vertical="bottom"/>
    </xf>
    <xf numFmtId="166" fontId="8" fillId="4" borderId="2" applyAlignment="1" pivotButton="0" quotePrefix="0" xfId="0">
      <alignment horizontal="right" vertical="center"/>
    </xf>
    <xf numFmtId="0" fontId="12" fillId="0" borderId="0" applyAlignment="1" pivotButton="0" quotePrefix="0" xfId="0">
      <alignment horizontal="left" vertical="center" wrapText="1"/>
    </xf>
    <xf numFmtId="0" fontId="13" fillId="0" borderId="0" applyAlignment="1" pivotButton="0" quotePrefix="0" xfId="0">
      <alignment horizontal="left" vertical="center" wrapText="1"/>
    </xf>
    <xf numFmtId="0" fontId="5" fillId="0" borderId="0" applyAlignment="1" pivotButton="0" quotePrefix="0" xfId="0">
      <alignment horizontal="left" vertical="center" wrapText="1"/>
    </xf>
    <xf numFmtId="0" fontId="8" fillId="0" borderId="0" applyAlignment="1" pivotButton="0" quotePrefix="0" xfId="0">
      <alignment horizontal="center" vertical="center" wrapText="1"/>
    </xf>
    <xf numFmtId="0" fontId="14" fillId="0" borderId="0" applyAlignment="1" pivotButton="0" quotePrefix="0" xfId="0">
      <alignment horizontal="center" vertical="center" wrapText="1"/>
    </xf>
    <xf numFmtId="0" fontId="15" fillId="0" borderId="0" applyAlignment="1" pivotButton="0" quotePrefix="0" xfId="0">
      <alignment horizontal="general" vertical="bottom"/>
    </xf>
    <xf numFmtId="0" fontId="8" fillId="0" borderId="0" applyAlignment="1" pivotButton="0" quotePrefix="0" xfId="0">
      <alignment horizontal="general" vertical="bottom"/>
    </xf>
    <xf numFmtId="0" fontId="16" fillId="5" borderId="2" applyAlignment="1" pivotButton="0" quotePrefix="0" xfId="0">
      <alignment horizontal="left" vertical="center" wrapText="1"/>
    </xf>
    <xf numFmtId="0" fontId="17" fillId="0" borderId="0" applyAlignment="1" pivotButton="0" quotePrefix="0" xfId="0">
      <alignment horizontal="general" vertical="bottom"/>
    </xf>
    <xf numFmtId="0" fontId="4" fillId="0" borderId="0" applyAlignment="1" pivotButton="0" quotePrefix="0" xfId="0">
      <alignment horizontal="general" vertical="center" wrapText="1"/>
    </xf>
    <xf numFmtId="0" fontId="0" fillId="0" borderId="0" applyAlignment="1" pivotButton="0" quotePrefix="0" xfId="0">
      <alignment horizontal="general" vertical="center" wrapText="1"/>
    </xf>
    <xf numFmtId="0" fontId="8" fillId="0" borderId="0" applyAlignment="1" pivotButton="0" quotePrefix="0" xfId="0">
      <alignment horizontal="general" vertical="center" wrapText="1"/>
    </xf>
    <xf numFmtId="0" fontId="5" fillId="0" borderId="0" applyAlignment="1" pivotButton="0" quotePrefix="0" xfId="0">
      <alignment horizontal="general"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3F6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CEFCF"/>
      <rgbColor rgb="FF99CCFF"/>
      <rgbColor rgb="FFFF99CC"/>
      <rgbColor rgb="FFCC99FF"/>
      <rgbColor rgb="FFFFCC99"/>
      <rgbColor rgb="FF3366FF"/>
      <rgbColor rgb="FF33CCCC"/>
      <rgbColor rgb="FF99CC00"/>
      <rgbColor rgb="FFFFCC00"/>
      <rgbColor rgb="FFD4A028"/>
      <rgbColor rgb="FFFF6600"/>
      <rgbColor rgb="FF666699"/>
      <rgbColor rgb="FF7F7F7F"/>
      <rgbColor rgb="FF14346E"/>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19050</rowOff>
    </from>
    <ext cx="952500" cy="952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1"/>
  </sheetPr>
  <dimension ref="A1:G6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6" customWidth="1" style="41" min="1" max="1"/>
    <col width="40" customWidth="1" style="41" min="2" max="2"/>
    <col width="9" customWidth="1" style="41" min="3" max="3"/>
    <col width="10" customWidth="1" style="41" min="4" max="4"/>
    <col width="15" customWidth="1" style="41" min="5" max="5"/>
    <col width="17" customWidth="1" style="41" min="6" max="6"/>
    <col width="15" customWidth="1" style="41" min="7" max="7"/>
  </cols>
  <sheetData>
    <row r="1" ht="24" customHeight="1" s="42">
      <c r="B1" s="43">
        <f>'Thông tin công ty'!$C$4</f>
        <v/>
      </c>
    </row>
    <row r="2" ht="18" customHeight="1" s="42">
      <c r="B2" s="44">
        <f>"Địa chỉ: "&amp;'Thông tin công ty'!$C$5</f>
        <v/>
      </c>
    </row>
    <row r="3" ht="18" customHeight="1" s="42">
      <c r="B3" s="44">
        <f>"MST: "&amp;'Thông tin công ty'!$C$6&amp;"   |   Điện thoại: "&amp;'Thông tin công ty'!$C$7</f>
        <v/>
      </c>
    </row>
    <row r="4" ht="18" customHeight="1" s="42">
      <c r="B4" s="44">
        <f>"Email: "&amp;'Thông tin công ty'!$C$8</f>
        <v/>
      </c>
    </row>
    <row r="5" ht="7.5" customHeight="1" s="42">
      <c r="A5" s="45" t="n"/>
      <c r="B5" s="45" t="n"/>
      <c r="C5" s="45" t="n"/>
      <c r="D5" s="45" t="n"/>
      <c r="E5" s="45" t="n"/>
      <c r="F5" s="45" t="n"/>
      <c r="G5" s="45" t="n"/>
    </row>
    <row r="7" ht="31.5" customHeight="1" s="42">
      <c r="A7" s="46" t="inlineStr">
        <is>
          <t>BẢNG BÁO GIÁ</t>
        </is>
      </c>
    </row>
    <row r="8" ht="15" customHeight="1" s="42">
      <c r="A8" s="47">
        <f>"Số: "&amp;F12&amp;"  –  Ngày "&amp;TEXT(F13,"dd/mm/yyyy")</f>
        <v/>
      </c>
    </row>
    <row r="10" ht="18.75" customHeight="1" s="42">
      <c r="B10" s="48" t="inlineStr">
        <is>
          <t>Kính gửi:</t>
        </is>
      </c>
      <c r="C10" s="49" t="inlineStr">
        <is>
          <t>CÔNG TY MEGA</t>
        </is>
      </c>
    </row>
    <row r="11" ht="18.75" customHeight="1" s="42">
      <c r="B11" s="48" t="inlineStr">
        <is>
          <t>Người liên hệ:</t>
        </is>
      </c>
      <c r="C11" s="50" t="inlineStr"/>
      <c r="E11" s="49" t="inlineStr">
        <is>
          <t>Điện thoại:</t>
        </is>
      </c>
      <c r="F11" s="50" t="inlineStr"/>
    </row>
    <row r="12" ht="18.75" customHeight="1" s="42">
      <c r="B12" s="48" t="inlineStr">
        <is>
          <t>Địa chỉ:</t>
        </is>
      </c>
      <c r="C12" s="50" t="inlineStr"/>
      <c r="E12" s="49" t="inlineStr">
        <is>
          <t>Số báo giá:</t>
        </is>
      </c>
      <c r="F12" s="50" t="inlineStr">
        <is>
          <t>BG-2026/001</t>
        </is>
      </c>
    </row>
    <row r="13" ht="18.75" customHeight="1" s="42">
      <c r="B13" s="48" t="inlineStr">
        <is>
          <t>Email:</t>
        </is>
      </c>
      <c r="C13" s="50" t="inlineStr"/>
      <c r="E13" s="49" t="inlineStr">
        <is>
          <t>Ngày báo giá:</t>
        </is>
      </c>
      <c r="F13" s="51" t="n">
        <v>46305</v>
      </c>
    </row>
    <row r="15" ht="30" customHeight="1" s="42">
      <c r="A15" s="52">
        <f>'Thông tin công ty'!$C$4&amp;" trân trọng cảm ơn Quý khách đã quan tâm. Chúng tôi xin gửi tới Quý khách bảng báo giá hạng mục Hệ thống điện điều hòa – Công trình lắp đặt điều hòa không khí MS1 tầng 1 &amp; BP2, dự án MEGA giai đoạn 1 như sau:"</f>
        <v/>
      </c>
    </row>
    <row r="17" ht="31.5" customHeight="1" s="42">
      <c r="A17" s="53" t="inlineStr">
        <is>
          <t>STT</t>
        </is>
      </c>
      <c r="B17" s="53" t="inlineStr">
        <is>
          <t>Tên hàng hóa / Quy cách</t>
        </is>
      </c>
      <c r="C17" s="53" t="inlineStr">
        <is>
          <t>ĐVT</t>
        </is>
      </c>
      <c r="D17" s="53" t="inlineStr">
        <is>
          <t>Số lượng</t>
        </is>
      </c>
      <c r="E17" s="53" t="inlineStr">
        <is>
          <t>Đơn giá
(VNĐ)</t>
        </is>
      </c>
      <c r="F17" s="53" t="inlineStr">
        <is>
          <t>Thành tiền
(VNĐ)</t>
        </is>
      </c>
      <c r="G17" s="53" t="inlineStr">
        <is>
          <t>Ghi chú</t>
        </is>
      </c>
    </row>
    <row r="18" ht="40.5" customHeight="1" s="42">
      <c r="A18" s="54">
        <f>IF(B18="","",COUNTA($B$18:B18))</f>
        <v/>
      </c>
      <c r="B18" s="55" t="inlineStr">
        <is>
          <t>Tủ đồng hồ điện thông minh (gồm đồng hồ điện đa năng, biến dòng, cầu đấu dây; lắp treo tường)</t>
        </is>
      </c>
      <c r="C18" s="54" t="inlineStr">
        <is>
          <t>Tủ</t>
        </is>
      </c>
      <c r="D18" s="56" t="n">
        <v>3</v>
      </c>
      <c r="E18" s="57" t="n">
        <v>7700000</v>
      </c>
      <c r="F18" s="57">
        <f>IF(OR(D18="",E18=""),"",D18*E18)</f>
        <v/>
      </c>
      <c r="G18" s="55" t="inlineStr">
        <is>
          <t>Acrel</t>
        </is>
      </c>
    </row>
    <row r="19" ht="29" customHeight="1" s="42">
      <c r="A19" s="58">
        <f>IF(B19="","",COUNTA($B$18:B19))</f>
        <v/>
      </c>
      <c r="B19" s="59" t="inlineStr">
        <is>
          <t>Tủ điều khiển biến tần bơm nước lạnh ACPL-01 (tủ kiểu Rittal 1800×1000×800, đặt sàn)</t>
        </is>
      </c>
      <c r="C19" s="58" t="inlineStr">
        <is>
          <t>Tủ</t>
        </is>
      </c>
      <c r="D19" s="60" t="n">
        <v>1</v>
      </c>
      <c r="E19" s="61" t="n">
        <v>220000000</v>
      </c>
      <c r="F19" s="61">
        <f>IF(OR(D19="",E19=""),"",D19*E19)</f>
        <v/>
      </c>
      <c r="G19" s="59" t="inlineStr">
        <is>
          <t>ABB, Schneider; đồng hồ Acrel</t>
        </is>
      </c>
    </row>
    <row r="20" ht="29" customHeight="1" s="42">
      <c r="A20" s="54">
        <f>IF(B20="","",COUNTA($B$18:B20))</f>
        <v/>
      </c>
      <c r="B20" s="55" t="inlineStr">
        <is>
          <t>Tủ điều khiển biến tần bơm nước lạnh ACPL-02 (tủ kiểu Rittal 1800×1000×800, đặt sàn)</t>
        </is>
      </c>
      <c r="C20" s="54" t="inlineStr">
        <is>
          <t>Tủ</t>
        </is>
      </c>
      <c r="D20" s="56" t="n">
        <v>1</v>
      </c>
      <c r="E20" s="57" t="n">
        <v>220000000</v>
      </c>
      <c r="F20" s="57">
        <f>IF(OR(D20="",E20=""),"",D20*E20)</f>
        <v/>
      </c>
      <c r="G20" s="55" t="inlineStr">
        <is>
          <t>ABB, Schneider; đồng hồ Acrel</t>
        </is>
      </c>
    </row>
    <row r="21" ht="40.5" customHeight="1" s="42">
      <c r="A21" s="58">
        <f>IF(B21="","",COUNTA($B$18:B21))</f>
        <v/>
      </c>
      <c r="B21" s="59" t="inlineStr">
        <is>
          <t>Tủ điều khiển biến tần bơm nước giải nhiệt ACPL-03 (tủ kiểu Rittal 1800×1000×800, đặt sàn)</t>
        </is>
      </c>
      <c r="C21" s="58" t="inlineStr">
        <is>
          <t>Tủ</t>
        </is>
      </c>
      <c r="D21" s="60" t="n">
        <v>1</v>
      </c>
      <c r="E21" s="61" t="n">
        <v>220000000</v>
      </c>
      <c r="F21" s="61">
        <f>IF(OR(D21="",E21=""),"",D21*E21)</f>
        <v/>
      </c>
      <c r="G21" s="59" t="inlineStr">
        <is>
          <t>ABB, Schneider; đồng hồ Acrel</t>
        </is>
      </c>
    </row>
    <row r="22" ht="40.5" customHeight="1" s="42">
      <c r="A22" s="54">
        <f>IF(B22="","",COUNTA($B$18:B22))</f>
        <v/>
      </c>
      <c r="B22" s="55" t="inlineStr">
        <is>
          <t>Tủ điều khiển biến tần bơm nước giải nhiệt ACPL-04 (tủ kiểu Rittal 1800×1000×800, đặt sàn)</t>
        </is>
      </c>
      <c r="C22" s="54" t="inlineStr">
        <is>
          <t>Tủ</t>
        </is>
      </c>
      <c r="D22" s="56" t="n">
        <v>1</v>
      </c>
      <c r="E22" s="57" t="n">
        <v>203500000</v>
      </c>
      <c r="F22" s="57">
        <f>IF(OR(D22="",E22=""),"",D22*E22)</f>
        <v/>
      </c>
      <c r="G22" s="55" t="inlineStr">
        <is>
          <t>ABB, Schneider; đồng hồ Acrel</t>
        </is>
      </c>
    </row>
    <row r="23" ht="40.5" customHeight="1" s="42">
      <c r="A23" s="58">
        <f>IF(B23="","",COUNTA($B$18:B23))</f>
        <v/>
      </c>
      <c r="B23" s="59" t="inlineStr">
        <is>
          <t>Tủ điều khiển biến tần tháp giải nhiệt ACPL-05 (tủ kiểu Rittal 1800×1200×800, đặt sàn)</t>
        </is>
      </c>
      <c r="C23" s="58" t="inlineStr">
        <is>
          <t>Tủ</t>
        </is>
      </c>
      <c r="D23" s="60" t="n">
        <v>1</v>
      </c>
      <c r="E23" s="61" t="n">
        <v>181500000</v>
      </c>
      <c r="F23" s="61">
        <f>IF(OR(D23="",E23=""),"",D23*E23)</f>
        <v/>
      </c>
      <c r="G23" s="59" t="inlineStr">
        <is>
          <t>ABB, Schneider; đồng hồ Acrel</t>
        </is>
      </c>
    </row>
    <row r="24" ht="40.5" customHeight="1" s="42">
      <c r="A24" s="54">
        <f>IF(B24="","",COUNTA($B$18:B24))</f>
        <v/>
      </c>
      <c r="B24" s="55" t="inlineStr">
        <is>
          <t>Tủ điều khiển biến tần tháp giải nhiệt ACPL-06 (tủ kiểu Rittal 1800×800×800, đặt sàn)</t>
        </is>
      </c>
      <c r="C24" s="54" t="inlineStr">
        <is>
          <t>Tủ</t>
        </is>
      </c>
      <c r="D24" s="56" t="n">
        <v>1</v>
      </c>
      <c r="E24" s="57" t="n">
        <v>165000000</v>
      </c>
      <c r="F24" s="57">
        <f>IF(OR(D24="",E24=""),"",D24*E24)</f>
        <v/>
      </c>
      <c r="G24" s="55" t="inlineStr">
        <is>
          <t>ABB, Schneider; đồng hồ Acrel</t>
        </is>
      </c>
    </row>
    <row r="25" ht="29" customHeight="1" s="42">
      <c r="A25" s="58">
        <f>IF(B25="","",COUNTA($B$18:B25))</f>
        <v/>
      </c>
      <c r="B25" s="59" t="inlineStr">
        <is>
          <t>Tủ điều khiển van điện ACPL-07 (tủ kiểu Rittal 1800×800×800, đặt sàn)</t>
        </is>
      </c>
      <c r="C25" s="58" t="inlineStr">
        <is>
          <t>Tủ</t>
        </is>
      </c>
      <c r="D25" s="60" t="n">
        <v>1</v>
      </c>
      <c r="E25" s="61" t="n">
        <v>154000000</v>
      </c>
      <c r="F25" s="61">
        <f>IF(OR(D25="",E25=""),"",D25*E25)</f>
        <v/>
      </c>
      <c r="G25" s="59" t="inlineStr">
        <is>
          <t>ABB, Schneider; đồng hồ Acrel</t>
        </is>
      </c>
    </row>
    <row r="26" ht="40.5" customHeight="1" s="42">
      <c r="A26" s="54">
        <f>IF(B26="","",COUNTA($B$18:B26))</f>
        <v/>
      </c>
      <c r="B26" s="55" t="inlineStr">
        <is>
          <t>Cáp điện động lực lõi đồng YJV-3×70+1×35</t>
        </is>
      </c>
      <c r="C26" s="54" t="inlineStr">
        <is>
          <t>m</t>
        </is>
      </c>
      <c r="D26" s="56" t="n">
        <v>129</v>
      </c>
      <c r="E26" s="57" t="n">
        <v>1650000</v>
      </c>
      <c r="F26" s="57">
        <f>IF(OR(D26="",E26=""),"",D26*E26)</f>
        <v/>
      </c>
      <c r="G26" s="55" t="inlineStr">
        <is>
          <t>Chengtiantai, Nanyang, LS, Taya</t>
        </is>
      </c>
    </row>
    <row r="27" ht="40.5" customHeight="1" s="42">
      <c r="A27" s="58">
        <f>IF(B27="","",COUNTA($B$18:B27))</f>
        <v/>
      </c>
      <c r="B27" s="59" t="inlineStr">
        <is>
          <t>Cáp điện động lực lõi đồng YJV-3×50+1×25</t>
        </is>
      </c>
      <c r="C27" s="58" t="inlineStr">
        <is>
          <t>m</t>
        </is>
      </c>
      <c r="D27" s="60" t="n">
        <v>213</v>
      </c>
      <c r="E27" s="61" t="n">
        <v>1210000</v>
      </c>
      <c r="F27" s="61">
        <f>IF(OR(D27="",E27=""),"",D27*E27)</f>
        <v/>
      </c>
      <c r="G27" s="59" t="inlineStr">
        <is>
          <t>Chengtiantai, Nanyang, LS, Taya</t>
        </is>
      </c>
    </row>
    <row r="28" ht="40.5" customHeight="1" s="42">
      <c r="A28" s="54">
        <f>IF(B28="","",COUNTA($B$18:B28))</f>
        <v/>
      </c>
      <c r="B28" s="55" t="inlineStr">
        <is>
          <t>Cáp điện động lực lõi đồng YJV-3×10+1×6</t>
        </is>
      </c>
      <c r="C28" s="54" t="inlineStr">
        <is>
          <t>m</t>
        </is>
      </c>
      <c r="D28" s="56" t="n">
        <v>542</v>
      </c>
      <c r="E28" s="57" t="n">
        <v>462000</v>
      </c>
      <c r="F28" s="57">
        <f>IF(OR(D28="",E28=""),"",D28*E28)</f>
        <v/>
      </c>
      <c r="G28" s="55" t="inlineStr">
        <is>
          <t>Chengtiantai, Nanyang, LS, Taya</t>
        </is>
      </c>
    </row>
    <row r="29" ht="40.5" customHeight="1" s="42">
      <c r="A29" s="58">
        <f>IF(B29="","",COUNTA($B$18:B29))</f>
        <v/>
      </c>
      <c r="B29" s="59" t="inlineStr">
        <is>
          <t>Cáp điện động lực lõi đồng YJV-5×2.5</t>
        </is>
      </c>
      <c r="C29" s="58" t="inlineStr">
        <is>
          <t>m</t>
        </is>
      </c>
      <c r="D29" s="60" t="n">
        <v>58</v>
      </c>
      <c r="E29" s="61" t="n">
        <v>374000</v>
      </c>
      <c r="F29" s="61">
        <f>IF(OR(D29="",E29=""),"",D29*E29)</f>
        <v/>
      </c>
      <c r="G29" s="59" t="inlineStr">
        <is>
          <t>Chengtiantai, Nanyang, LS, Taya</t>
        </is>
      </c>
    </row>
    <row r="30" ht="40.5" customHeight="1" s="42">
      <c r="A30" s="58">
        <f>IF(B30="","",COUNTA($B$18:B30))</f>
        <v/>
      </c>
      <c r="B30" s="59" t="inlineStr">
        <is>
          <t>Cáp điện động lực lõi đồng YJV-4×2.5</t>
        </is>
      </c>
      <c r="C30" s="58" t="inlineStr">
        <is>
          <t>m</t>
        </is>
      </c>
      <c r="D30" s="60" t="n">
        <v>884</v>
      </c>
      <c r="E30" s="61" t="n">
        <v>297000</v>
      </c>
      <c r="F30" s="61">
        <f>IF(OR(D30="",E30=""),"",D30*E30)</f>
        <v/>
      </c>
      <c r="G30" s="59" t="inlineStr">
        <is>
          <t>Chengtiantai, Nanyang, LS, Taya</t>
        </is>
      </c>
    </row>
    <row r="31" ht="40.5" customHeight="1" s="42">
      <c r="A31" s="58">
        <f>IF(B31="","",COUNTA($B$18:B31))</f>
        <v/>
      </c>
      <c r="B31" s="59" t="inlineStr">
        <is>
          <t>Cáp điện động lực lõi đồng YJV-3×2.5</t>
        </is>
      </c>
      <c r="C31" s="58" t="inlineStr">
        <is>
          <t>m</t>
        </is>
      </c>
      <c r="D31" s="60" t="n">
        <v>87</v>
      </c>
      <c r="E31" s="61" t="n">
        <v>231000</v>
      </c>
      <c r="F31" s="61">
        <f>IF(OR(D31="",E31=""),"",D31*E31)</f>
        <v/>
      </c>
      <c r="G31" s="59" t="inlineStr">
        <is>
          <t>Chengtiantai, Nanyang, LS, Taya</t>
        </is>
      </c>
    </row>
    <row r="32" ht="40.5" customHeight="1" s="42">
      <c r="A32" s="58">
        <f>IF(B32="","",COUNTA($B$18:B32))</f>
        <v/>
      </c>
      <c r="B32" s="59" t="inlineStr">
        <is>
          <t>Cáp điều khiển lõi đồng RVV-3×1.0</t>
        </is>
      </c>
      <c r="C32" s="58" t="inlineStr">
        <is>
          <t>m</t>
        </is>
      </c>
      <c r="D32" s="60" t="n">
        <v>1031</v>
      </c>
      <c r="E32" s="61" t="n">
        <v>165000</v>
      </c>
      <c r="F32" s="61">
        <f>IF(OR(D32="",E32=""),"",D32*E32)</f>
        <v/>
      </c>
      <c r="G32" s="59" t="inlineStr">
        <is>
          <t>Chengtiantai, Nanyang, LS, Taya</t>
        </is>
      </c>
    </row>
    <row r="33" ht="29" customHeight="1" s="42">
      <c r="A33" s="58">
        <f>IF(B33="","",COUNTA($B$18:B33))</f>
        <v/>
      </c>
      <c r="B33" s="59" t="inlineStr">
        <is>
          <t>Máng cáp thép mạ kẽm 800×200×1.5mm (gồm phụ kiện)</t>
        </is>
      </c>
      <c r="C33" s="58" t="inlineStr">
        <is>
          <t>m</t>
        </is>
      </c>
      <c r="D33" s="60" t="n">
        <v>10</v>
      </c>
      <c r="E33" s="61" t="n">
        <v>1518000</v>
      </c>
      <c r="F33" s="61">
        <f>IF(OR(D33="",E33=""),"",D33*E33)</f>
        <v/>
      </c>
      <c r="G33" s="59" t="inlineStr">
        <is>
          <t>Hàng trong nước</t>
        </is>
      </c>
    </row>
    <row r="34" ht="29" customHeight="1" s="42">
      <c r="A34" s="58">
        <f>IF(B34="","",COUNTA($B$18:B34))</f>
        <v/>
      </c>
      <c r="B34" s="59" t="inlineStr">
        <is>
          <t>Máng cáp thép mạ kẽm 400×200×1.2mm (gồm phụ kiện)</t>
        </is>
      </c>
      <c r="C34" s="58" t="inlineStr">
        <is>
          <t>m</t>
        </is>
      </c>
      <c r="D34" s="60" t="n">
        <v>18</v>
      </c>
      <c r="E34" s="61" t="n">
        <v>1320000</v>
      </c>
      <c r="F34" s="61">
        <f>IF(OR(D34="",E34=""),"",D34*E34)</f>
        <v/>
      </c>
      <c r="G34" s="59" t="inlineStr">
        <is>
          <t>Hàng trong nước</t>
        </is>
      </c>
    </row>
    <row r="35" ht="29" customHeight="1" s="42">
      <c r="A35" s="58">
        <f>IF(B35="","",COUNTA($B$18:B35))</f>
        <v/>
      </c>
      <c r="B35" s="59" t="inlineStr">
        <is>
          <t>Máng cáp thép mạ kẽm 300×150×1.2mm (gồm phụ kiện)</t>
        </is>
      </c>
      <c r="C35" s="58" t="inlineStr">
        <is>
          <t>m</t>
        </is>
      </c>
      <c r="D35" s="60" t="n">
        <v>52</v>
      </c>
      <c r="E35" s="61" t="n">
        <v>880000</v>
      </c>
      <c r="F35" s="61">
        <f>IF(OR(D35="",E35=""),"",D35*E35)</f>
        <v/>
      </c>
      <c r="G35" s="59" t="inlineStr">
        <is>
          <t>Hàng trong nước</t>
        </is>
      </c>
    </row>
    <row r="36" ht="29" customHeight="1" s="42">
      <c r="A36" s="58">
        <f>IF(B36="","",COUNTA($B$18:B36))</f>
        <v/>
      </c>
      <c r="B36" s="59" t="inlineStr">
        <is>
          <t>Máng cáp thép mạ kẽm 200×100×1.0mm (gồm phụ kiện)</t>
        </is>
      </c>
      <c r="C36" s="58" t="inlineStr">
        <is>
          <t>m</t>
        </is>
      </c>
      <c r="D36" s="60" t="n">
        <v>42</v>
      </c>
      <c r="E36" s="61" t="n">
        <v>550000</v>
      </c>
      <c r="F36" s="61">
        <f>IF(OR(D36="",E36=""),"",D36*E36)</f>
        <v/>
      </c>
      <c r="G36" s="59" t="inlineStr">
        <is>
          <t>Hàng trong nước</t>
        </is>
      </c>
    </row>
    <row r="37" ht="29" customHeight="1" s="42">
      <c r="A37" s="58">
        <f>IF(B37="","",COUNTA($B$18:B37))</f>
        <v/>
      </c>
      <c r="B37" s="59" t="inlineStr">
        <is>
          <t>Máng cáp thép mạ kẽm 150×100×1.0mm (gồm phụ kiện)</t>
        </is>
      </c>
      <c r="C37" s="58" t="inlineStr">
        <is>
          <t>m</t>
        </is>
      </c>
      <c r="D37" s="60" t="n">
        <v>34</v>
      </c>
      <c r="E37" s="61" t="n">
        <v>517000</v>
      </c>
      <c r="F37" s="61">
        <f>IF(OR(D37="",E37=""),"",D37*E37)</f>
        <v/>
      </c>
      <c r="G37" s="59" t="inlineStr">
        <is>
          <t>Hàng trong nước</t>
        </is>
      </c>
    </row>
    <row r="38" ht="29" customHeight="1" s="42">
      <c r="A38" s="58">
        <f>IF(B38="","",COUNTA($B$18:B38))</f>
        <v/>
      </c>
      <c r="B38" s="59" t="inlineStr">
        <is>
          <t>Ống luồn dây điện PVC cứng U-PVC Φ25 (gồm phụ kiện)</t>
        </is>
      </c>
      <c r="C38" s="58" t="inlineStr">
        <is>
          <t>m</t>
        </is>
      </c>
      <c r="D38" s="60" t="n">
        <v>104</v>
      </c>
      <c r="E38" s="61" t="n">
        <v>198000</v>
      </c>
      <c r="F38" s="61">
        <f>IF(OR(D38="",E38=""),"",D38*E38)</f>
        <v/>
      </c>
      <c r="G38" s="59" t="inlineStr">
        <is>
          <t>Lesso, Rifeng</t>
        </is>
      </c>
    </row>
    <row r="39" ht="29" customHeight="1" s="42">
      <c r="A39" s="58">
        <f>IF(B39="","",COUNTA($B$18:B39))</f>
        <v/>
      </c>
      <c r="B39" s="59" t="inlineStr">
        <is>
          <t>Giá treo đỡ máng cáp, ống luồn dây (thép góc, ty ren)</t>
        </is>
      </c>
      <c r="C39" s="58" t="inlineStr">
        <is>
          <t>kg</t>
        </is>
      </c>
      <c r="D39" s="62" t="n">
        <v>610.7</v>
      </c>
      <c r="E39" s="61" t="n">
        <v>275000</v>
      </c>
      <c r="F39" s="61">
        <f>IF(OR(D39="",E39=""),"",D39*E39)</f>
        <v/>
      </c>
      <c r="G39" s="59" t="inlineStr">
        <is>
          <t>Tiêu chuẩn GB</t>
        </is>
      </c>
    </row>
    <row r="40" ht="29" customHeight="1" s="42">
      <c r="A40" s="58">
        <f>IF(B40="","",COUNTA($B$18:B40))</f>
        <v/>
      </c>
      <c r="B40" s="59" t="inlineStr">
        <is>
          <t>Vật tư phụ lắp đặt (đầu cos, dây rút, băng keo điện...)</t>
        </is>
      </c>
      <c r="C40" s="58" t="inlineStr">
        <is>
          <t>Gói</t>
        </is>
      </c>
      <c r="D40" s="60" t="n">
        <v>1</v>
      </c>
      <c r="E40" s="61" t="n">
        <v>110000000</v>
      </c>
      <c r="F40" s="61">
        <f>IF(OR(D40="",E40=""),"",D40*E40)</f>
        <v/>
      </c>
      <c r="G40" s="59" t="inlineStr"/>
    </row>
    <row r="41" ht="19.5" customHeight="1" s="42">
      <c r="A41" s="58">
        <f>IF(B41="","",COUNTA($B$18:B41))</f>
        <v/>
      </c>
      <c r="B41" s="59" t="inlineStr">
        <is>
          <t>Đấu nối dây cụm máy làm lạnh nước (chiller)</t>
        </is>
      </c>
      <c r="C41" s="58" t="inlineStr">
        <is>
          <t>Máy</t>
        </is>
      </c>
      <c r="D41" s="60" t="n">
        <v>3</v>
      </c>
      <c r="E41" s="61" t="n">
        <v>22000000</v>
      </c>
      <c r="F41" s="61">
        <f>IF(OR(D41="",E41=""),"",D41*E41)</f>
        <v/>
      </c>
      <c r="G41" s="59" t="inlineStr"/>
    </row>
    <row r="42" ht="21" customHeight="1" s="42">
      <c r="A42" s="63" t="inlineStr">
        <is>
          <t>Cộng tiền hàng</t>
        </is>
      </c>
      <c r="B42" s="64" t="n"/>
      <c r="C42" s="64" t="n"/>
      <c r="D42" s="65" t="n"/>
      <c r="E42" s="66" t="n"/>
      <c r="F42" s="67">
        <f>SUM(F18:F41)</f>
        <v/>
      </c>
      <c r="G42" s="66" t="n"/>
    </row>
    <row r="43" ht="21" customHeight="1" s="42">
      <c r="A43" s="63" t="inlineStr">
        <is>
          <t>Thuế GTGT (VAT) – thuế suất:</t>
        </is>
      </c>
      <c r="B43" s="64" t="n"/>
      <c r="C43" s="64" t="n"/>
      <c r="D43" s="65" t="n"/>
      <c r="E43" s="68" t="n">
        <v>0.1</v>
      </c>
      <c r="F43" s="67">
        <f>ROUND(F42*E43,0)</f>
        <v/>
      </c>
      <c r="G43" s="66" t="n"/>
    </row>
    <row r="44" ht="21" customHeight="1" s="42">
      <c r="A44" s="69" t="inlineStr">
        <is>
          <t>TỔNG CỘNG THANH TOÁN</t>
        </is>
      </c>
      <c r="B44" s="64" t="n"/>
      <c r="C44" s="64" t="n"/>
      <c r="D44" s="65" t="n"/>
      <c r="E44" s="70" t="n"/>
      <c r="F44" s="71">
        <f>F42+F43</f>
        <v/>
      </c>
      <c r="G44" s="70" t="n"/>
    </row>
    <row r="45" ht="30" customHeight="1" s="42">
      <c r="A45" s="72" t="inlineStr">
        <is>
          <t>Số tiền bằng chữ: Ba tỷ ba trăm bảy mươi chín triệu sáu trăm chín mươi ba nghìn ba trăm năm mươi đồng.</t>
        </is>
      </c>
    </row>
    <row r="46" s="42"/>
    <row r="47" ht="15" customHeight="1" s="42">
      <c r="A47" s="73" t="inlineStr">
        <is>
          <t>ĐIỀU KHOẢN BÁO GIÁ</t>
        </is>
      </c>
    </row>
    <row r="48" ht="30" customHeight="1" s="42">
      <c r="A48" s="74" t="inlineStr">
        <is>
          <t>1. Đơn giá trên đã bao gồm vật tư và nhân công lắp đặt, chưa bao gồm thuế GTGT. Khối lượng quyết toán theo thực tế thi công. Toàn bộ cáp điện là cáp lõi đồng</t>
        </is>
      </c>
    </row>
    <row r="49" ht="18" customHeight="1" s="42">
      <c r="A49" s="74" t="inlineStr">
        <is>
          <t>2. Hiệu lực báo giá: 30 ngày kể từ ngày báo giá.</t>
        </is>
      </c>
    </row>
    <row r="50" ht="18" customHeight="1" s="42">
      <c r="A50" s="74" t="inlineStr">
        <is>
          <t>3. Thời gian giao hàng: theo tiến độ thi công thống nhất giữa hai bên.</t>
        </is>
      </c>
    </row>
    <row r="51" ht="18" customHeight="1" s="42">
      <c r="A51" s="74" t="inlineStr">
        <is>
          <t>4. Địa điểm giao hàng: tại công trình MEGA.</t>
        </is>
      </c>
    </row>
    <row r="52" ht="18" customHeight="1" s="42">
      <c r="A52" s="74" t="inlineStr">
        <is>
          <t>5. Thanh toán: chuyển khoản, theo tiến độ thỏa thuận trong hợp đồng.</t>
        </is>
      </c>
    </row>
    <row r="53" ht="30" customHeight="1" s="42">
      <c r="A53" s="74">
        <f>"6. Tài khoản: "&amp;'Thông tin công ty'!$C$10&amp;" – "&amp;'Thông tin công ty'!$C$11&amp;" – Chủ tài khoản: CT TNHH KY THUAT CONG TRINH BLT"</f>
        <v/>
      </c>
    </row>
    <row r="54" s="42"/>
    <row r="55" ht="15" customHeight="1" s="42">
      <c r="A55" s="52" t="inlineStr">
        <is>
          <t>Rất mong nhận được sự hợp tác của Quý khách. Trân trọng!</t>
        </is>
      </c>
    </row>
    <row r="56" s="42"/>
    <row r="57" ht="15" customHeight="1" s="42">
      <c r="A57" s="75" t="inlineStr">
        <is>
          <t>KHÁCH HÀNG XÁC NHẬN</t>
        </is>
      </c>
      <c r="E57" s="75">
        <f>UPPER('Thông tin công ty'!$C$13)</f>
        <v/>
      </c>
    </row>
    <row r="58" ht="15" customHeight="1" s="42">
      <c r="A58" s="76" t="inlineStr">
        <is>
          <t>(Ký, ghi rõ họ tên)</t>
        </is>
      </c>
      <c r="E58" s="76" t="inlineStr">
        <is>
          <t>(Ký, đóng dấu, ghi rõ họ tên)</t>
        </is>
      </c>
    </row>
    <row r="59" s="42"/>
    <row r="60" s="42"/>
    <row r="61" s="42"/>
    <row r="62" s="42"/>
    <row r="63" ht="15" customHeight="1" s="42">
      <c r="E63" s="75">
        <f>'Thông tin công ty'!$C$12</f>
        <v/>
      </c>
    </row>
  </sheetData>
  <mergeCells count="31">
    <mergeCell ref="E63:G63"/>
    <mergeCell ref="B2:G2"/>
    <mergeCell ref="F11:G11"/>
    <mergeCell ref="A8:G8"/>
    <mergeCell ref="A53:G53"/>
    <mergeCell ref="B1:G1"/>
    <mergeCell ref="A43:D43"/>
    <mergeCell ref="A52:G52"/>
    <mergeCell ref="A57:C57"/>
    <mergeCell ref="A44:D44"/>
    <mergeCell ref="F12:G12"/>
    <mergeCell ref="A42:D42"/>
    <mergeCell ref="C10:G10"/>
    <mergeCell ref="A48:G48"/>
    <mergeCell ref="E57:G57"/>
    <mergeCell ref="A15:G15"/>
    <mergeCell ref="A51:G51"/>
    <mergeCell ref="A49:G49"/>
    <mergeCell ref="A45:G45"/>
    <mergeCell ref="C12:D12"/>
    <mergeCell ref="C11:D11"/>
    <mergeCell ref="A58:C58"/>
    <mergeCell ref="B4:G4"/>
    <mergeCell ref="E58:G58"/>
    <mergeCell ref="A7:G7"/>
    <mergeCell ref="F13:G13"/>
    <mergeCell ref="B3:G3"/>
    <mergeCell ref="A55:G55"/>
    <mergeCell ref="A50:G50"/>
    <mergeCell ref="C13:D13"/>
    <mergeCell ref="A47:G47"/>
  </mergeCells>
  <printOptions horizontalCentered="1" verticalCentered="0" headings="0" gridLines="0" gridLinesSet="1"/>
  <pageMargins left="0.5" right="0.4" top="0.5" bottom="0.5" header="0.511811023622047" footer="0.511811023622047"/>
  <pageSetup orientation="portrait" paperSize="9" scale="100" fitToHeight="0"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B2:C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 customWidth="1" style="41" min="1" max="1"/>
    <col width="26" customWidth="1" style="41" min="2" max="2"/>
    <col width="70" customWidth="1" style="41" min="3" max="3"/>
  </cols>
  <sheetData>
    <row r="2" ht="16.15" customHeight="1" s="42">
      <c r="B2" s="77" t="inlineStr">
        <is>
          <t>THÔNG TIN CÔNG TY (điền 1 lần, bảng báo giá tự lấy theo)</t>
        </is>
      </c>
    </row>
    <row r="4" ht="19.5" customHeight="1" s="42">
      <c r="B4" s="78" t="inlineStr">
        <is>
          <t>Tên công ty</t>
        </is>
      </c>
      <c r="C4" s="79" t="inlineStr">
        <is>
          <t>CÔNG TY TNHH KỸ THUẬT CÔNG TRÌNH BLT</t>
        </is>
      </c>
    </row>
    <row r="5" ht="19.5" customHeight="1" s="42">
      <c r="B5" s="78" t="inlineStr">
        <is>
          <t>Địa chỉ</t>
        </is>
      </c>
      <c r="C5" s="79" t="inlineStr">
        <is>
          <t>Số 2A đường Nguyễn Khánh Toàn, khối Trường Phúc, phường Trường Vinh, tỉnh Nghệ An, Việt Nam</t>
        </is>
      </c>
    </row>
    <row r="6" ht="19.5" customHeight="1" s="42">
      <c r="B6" s="78" t="inlineStr">
        <is>
          <t>Mã số thuế</t>
        </is>
      </c>
      <c r="C6" s="79" t="inlineStr">
        <is>
          <t>2902269718</t>
        </is>
      </c>
    </row>
    <row r="7" ht="19.5" customHeight="1" s="42">
      <c r="B7" s="78" t="inlineStr">
        <is>
          <t>Điện thoại</t>
        </is>
      </c>
      <c r="C7" s="79" t="inlineStr">
        <is>
          <t>0984 586 089</t>
        </is>
      </c>
    </row>
    <row r="8" ht="19.5" customHeight="1" s="42">
      <c r="B8" s="78" t="inlineStr">
        <is>
          <t>Email</t>
        </is>
      </c>
      <c r="C8" s="79" t="inlineStr">
        <is>
          <t>hobinh150589@gmail.com</t>
        </is>
      </c>
    </row>
    <row r="9" ht="19.5" customHeight="1" s="42">
      <c r="B9" s="78" t="inlineStr">
        <is>
          <t>Website</t>
        </is>
      </c>
      <c r="C9" s="79" t="inlineStr"/>
    </row>
    <row r="10" ht="19.5" customHeight="1" s="42">
      <c r="B10" s="78" t="inlineStr">
        <is>
          <t>Số tài khoản</t>
        </is>
      </c>
      <c r="C10" s="79" t="inlineStr">
        <is>
          <t>1066217478</t>
        </is>
      </c>
    </row>
    <row r="11" ht="19.5" customHeight="1" s="42">
      <c r="B11" s="78" t="inlineStr">
        <is>
          <t>Ngân hàng</t>
        </is>
      </c>
      <c r="C11" s="79" t="inlineStr">
        <is>
          <t>Ngân hàng TMCP Ngoại thương Việt Nam (Vietcombank)</t>
        </is>
      </c>
    </row>
    <row r="12" ht="19.5" customHeight="1" s="42">
      <c r="B12" s="78" t="inlineStr">
        <is>
          <t>Người đại diện ký báo giá</t>
        </is>
      </c>
      <c r="C12" s="79" t="inlineStr">
        <is>
          <t>HỒ VĂN BÌNH</t>
        </is>
      </c>
    </row>
    <row r="13" ht="19.5" customHeight="1" s="42">
      <c r="B13" s="78" t="inlineStr">
        <is>
          <t>Chức vụ</t>
        </is>
      </c>
      <c r="C13" s="79" t="inlineStr">
        <is>
          <t>Giám đốc</t>
        </is>
      </c>
    </row>
    <row r="15" ht="15" customHeight="1" s="42">
      <c r="B15" s="80" t="inlineStr">
        <is>
          <t>Ô nền vàng là ô cần sửa. Thay phần trong ngoặc vuông [ ] bằng thông tin thật.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B2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 customWidth="1" style="41" min="1" max="1"/>
    <col width="95" customWidth="1" style="41" min="2" max="2"/>
  </cols>
  <sheetData>
    <row r="2" ht="17.35" customHeight="1" s="42">
      <c r="B2" s="81" t="inlineStr">
        <is>
          <t>HƯỚNG DẪN SỬ DỤNG MẪU BÁO GIÁ</t>
        </is>
      </c>
    </row>
    <row r="3" ht="15" customHeight="1" s="42">
      <c r="B3" s="82" t="n"/>
    </row>
    <row r="4" ht="15" customHeight="1" s="42">
      <c r="B4" s="83" t="inlineStr">
        <is>
          <t>BƯỚC 1 – Điền thông tin công ty (chỉ làm 1 lần)</t>
        </is>
      </c>
    </row>
    <row r="5" ht="15" customHeight="1" s="42">
      <c r="B5" s="84" t="inlineStr">
        <is>
          <t>• Mở trang 'Thông tin công ty', sửa các ô nền vàng (địa chỉ, MST, điện thoại, tài khoản...).</t>
        </is>
      </c>
    </row>
    <row r="6" ht="15" customHeight="1" s="42">
      <c r="B6" s="84" t="inlineStr">
        <is>
          <t>• Phần đầu trang và cuối trang của bảng báo giá sẽ tự cập nhật theo.</t>
        </is>
      </c>
    </row>
    <row r="7" ht="15" customHeight="1" s="42">
      <c r="B7" s="82" t="n"/>
    </row>
    <row r="8" ht="15" customHeight="1" s="42">
      <c r="B8" s="83" t="inlineStr">
        <is>
          <t>BƯỚC 2 – Mỗi lần báo giá cho khách</t>
        </is>
      </c>
    </row>
    <row r="9" ht="15" customHeight="1" s="42">
      <c r="B9" s="84" t="inlineStr">
        <is>
          <t>• Trang 'Báo giá': sửa thông tin khách hàng (ô C10 đến G13), số báo giá (F12) và ngày (F13).</t>
        </is>
      </c>
    </row>
    <row r="10" ht="15" customHeight="1" s="42">
      <c r="B10" s="84" t="inlineStr">
        <is>
          <t>• Danh sách hàng: nhập Tên hàng (cột B), ĐVT (C), Số lượng (D), Đơn giá (E), Ghi chú (G) từ dòng 18 đến 29.</t>
        </is>
      </c>
    </row>
    <row r="11" ht="15" customHeight="1" s="42">
      <c r="B11" s="84" t="inlineStr">
        <is>
          <t>• Cột STT và Thành tiền TỰ ĐỘNG tính – không cần gõ. Tổng tiền, thuế GTGT cũng tự tính.</t>
        </is>
      </c>
    </row>
    <row r="12" ht="15" customHeight="1" s="42">
      <c r="B12" s="84" t="inlineStr">
        <is>
          <t>• Hai dòng đầu (Giấy in A4, Mực in HP 12A) chỉ là VÍ DỤ – hãy xóa và thay bằng hàng của bạn.</t>
        </is>
      </c>
    </row>
    <row r="13" ht="15" customHeight="1" s="42">
      <c r="B13" s="84" t="inlineStr">
        <is>
          <t>• Thuế suất GTGT ở ô E31 (mặc định 10%). Đổi thành 8% hoặc 0% nếu cần.</t>
        </is>
      </c>
    </row>
    <row r="14" ht="15" customHeight="1" s="42">
      <c r="B14" s="84" t="inlineStr">
        <is>
          <t>• Sửa dòng 'Số tiền bằng chữ' (ô A33) theo tổng cộng; sửa các điều khoản trong ngoặc [ ] cho phù hợp.</t>
        </is>
      </c>
    </row>
    <row r="15" ht="15" customHeight="1" s="42">
      <c r="B15" s="82" t="n"/>
    </row>
    <row r="16" ht="15" customHeight="1" s="42">
      <c r="B16" s="83" t="inlineStr">
        <is>
          <t>BƯỚC 3 – Thay logo</t>
        </is>
      </c>
    </row>
    <row r="17" ht="15" customHeight="1" s="42">
      <c r="B17" s="84" t="inlineStr">
        <is>
          <t>• Logo hiện tại là logo TẠM. Bấm vào logo trên trang 'Báo giá' → Delete, rồi Insert (Chèn) → Pictures (Ảnh) để chèn logo thật.</t>
        </is>
      </c>
    </row>
    <row r="18" ht="15" customHeight="1" s="42">
      <c r="B18" s="82" t="n"/>
    </row>
    <row r="19" ht="15" customHeight="1" s="42">
      <c r="B19" s="83" t="inlineStr">
        <is>
          <t>BƯỚC 4 – In / gửi khách</t>
        </is>
      </c>
    </row>
    <row r="20" ht="15" customHeight="1" s="42">
      <c r="B20" s="84" t="inlineStr">
        <is>
          <t>• File đã căn sẵn khổ A4 dọc, vừa 1 trang. Bấm File → Print, hoặc File → Save As → PDF để gửi qua Zalo/Email.</t>
        </is>
      </c>
    </row>
    <row r="21" ht="15" customHeight="1" s="42">
      <c r="B21" s="84" t="inlineStr">
        <is>
          <t>• Mẹo: trước mỗi lần báo giá mới, nên lưu thành file mới (Save As) để giữ lại mẫu gốc.</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2026-10-01T23:05:03Z</dcterms:created>
  <dcterms:modified xmlns:dcterms="http://purl.org/dc/terms/" xmlns:xsi="http://www.w3.org/2001/XMLSchema-instance" xsi:type="dcterms:W3CDTF">2026-10-10T08:49:31Z</dcterms:modified>
  <cp:revision>0</cp:revision>
</cp:coreProperties>
</file>
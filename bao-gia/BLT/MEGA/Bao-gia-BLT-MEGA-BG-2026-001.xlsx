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s>
  <definedNames>
    <definedName name="_xlnm.Print_Titles" localSheetId="0">'Báo giá'!$21:$21</definedName>
    <definedName name="_xlnm.Print_Area" localSheetId="0">'Báo giá'!$A$1:$G$71</definedName>
  </definedNames>
  <calcPr calcId="124519" fullCalcOnLoad="1"/>
</workbook>
</file>

<file path=xl/styles.xml><?xml version="1.0" encoding="utf-8"?>
<styleSheet xmlns="http://schemas.openxmlformats.org/spreadsheetml/2006/main">
  <numFmts count="1">
    <numFmt numFmtId="164" formatCode="#,##0.##"/>
  </numFmts>
  <fonts count="19">
    <font>
      <name val="Calibri"/>
      <family val="2"/>
      <color theme="1"/>
      <sz val="11"/>
      <scheme val="minor"/>
    </font>
    <font>
      <name val="Arial"/>
      <b val="1"/>
      <color rgb="000D2B66"/>
      <sz val="16"/>
    </font>
    <font>
      <name val="Arial"/>
      <color rgb="00404040"/>
      <sz val="9"/>
    </font>
    <font>
      <name val="Arial"/>
      <b val="1"/>
      <color rgb="000D2B66"/>
      <sz val="22"/>
    </font>
    <font>
      <name val="Arial"/>
      <color rgb="007F7F7F"/>
      <sz val="9"/>
    </font>
    <font>
      <name val="Arial"/>
      <b val="1"/>
      <color rgb="00FFFFFF"/>
      <sz val="9.5"/>
    </font>
    <font>
      <name val="Arial"/>
      <i val="1"/>
      <color rgb="00262626"/>
      <sz val="10"/>
    </font>
    <font>
      <name val="Arial"/>
      <b val="1"/>
      <color rgb="000D2B66"/>
      <sz val="9.5"/>
    </font>
    <font>
      <name val="Arial"/>
      <color rgb="00000000"/>
      <sz val="9.5"/>
    </font>
    <font>
      <name val="Arial"/>
      <b val="1"/>
      <color rgb="00000000"/>
      <sz val="9.5"/>
    </font>
    <font>
      <name val="Arial"/>
      <color rgb="00404040"/>
      <sz val="8.5"/>
    </font>
    <font>
      <name val="Arial"/>
      <b val="1"/>
      <color rgb="00000000"/>
      <sz val="10"/>
    </font>
    <font>
      <name val="Arial"/>
      <color rgb="00000000"/>
      <sz val="10"/>
    </font>
    <font>
      <name val="Arial"/>
      <b val="1"/>
      <color rgb="00FFFFFF"/>
      <sz val="11.5"/>
    </font>
    <font>
      <name val="Arial"/>
      <b val="1"/>
      <i val="1"/>
      <color rgb="000D2B66"/>
      <sz val="10"/>
    </font>
    <font>
      <name val="Arial"/>
      <b val="1"/>
      <color rgb="000D2B66"/>
      <sz val="10.5"/>
    </font>
    <font>
      <name val="Arial"/>
      <color rgb="00262626"/>
      <sz val="9.5"/>
    </font>
    <font>
      <name val="Arial"/>
      <i val="1"/>
      <color rgb="00595959"/>
      <sz val="8.5"/>
    </font>
    <font>
      <name val="Arial"/>
      <b val="1"/>
      <color rgb="00000000"/>
      <sz val="11"/>
    </font>
  </fonts>
  <fills count="6">
    <fill>
      <patternFill/>
    </fill>
    <fill>
      <patternFill patternType="gray125"/>
    </fill>
    <fill>
      <patternFill patternType="solid">
        <fgColor rgb="000D2B66"/>
      </patternFill>
    </fill>
    <fill>
      <patternFill patternType="solid">
        <fgColor rgb="00F7F9FC"/>
      </patternFill>
    </fill>
    <fill>
      <patternFill patternType="solid">
        <fgColor rgb="00EEF2F8"/>
      </patternFill>
    </fill>
    <fill>
      <patternFill patternType="solid">
        <fgColor rgb="00FFFFFF"/>
      </patternFill>
    </fill>
  </fills>
  <borders count="16">
    <border>
      <left/>
      <right/>
      <top/>
      <bottom/>
      <diagonal/>
    </border>
    <border>
      <bottom style="medium">
        <color rgb="000D2B66"/>
      </bottom>
    </border>
    <border>
      <bottom style="thin">
        <color rgb="00F7931E"/>
      </bottom>
    </border>
    <border>
      <left style="thin">
        <color rgb="00C9D1DC"/>
      </left>
      <top style="thin">
        <color rgb="00C9D1DC"/>
      </top>
    </border>
    <border>
      <top style="thin">
        <color rgb="00C9D1DC"/>
      </top>
    </border>
    <border>
      <right style="thin">
        <color rgb="00C9D1DC"/>
      </right>
      <top style="thin">
        <color rgb="00C9D1DC"/>
      </top>
    </border>
    <border>
      <left style="thin">
        <color rgb="00C9D1DC"/>
      </left>
    </border>
    <border/>
    <border>
      <right style="thin">
        <color rgb="00C9D1DC"/>
      </right>
    </border>
    <border>
      <left style="thin">
        <color rgb="00C9D1DC"/>
      </left>
      <bottom style="thin">
        <color rgb="00C9D1DC"/>
      </bottom>
    </border>
    <border>
      <bottom style="thin">
        <color rgb="00C9D1DC"/>
      </bottom>
    </border>
    <border>
      <right style="thin">
        <color rgb="00C9D1DC"/>
      </right>
      <bottom style="thin">
        <color rgb="00C9D1DC"/>
      </bottom>
    </border>
    <border>
      <left style="thick">
        <color rgb="00F7931E"/>
      </left>
    </border>
    <border>
      <left style="thin">
        <color rgb="00FFFFFF"/>
      </left>
      <right style="thin">
        <color rgb="00FFFFFF"/>
      </right>
    </border>
    <border>
      <left style="thin">
        <color rgb="00C9D1DC"/>
      </left>
      <right style="thin">
        <color rgb="00C9D1DC"/>
      </right>
      <top style="thin">
        <color rgb="00C9D1DC"/>
      </top>
      <bottom style="thin">
        <color rgb="00C9D1DC"/>
      </bottom>
    </border>
    <border>
      <top style="medium">
        <color rgb="000D2B66"/>
      </top>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0" fillId="0" borderId="1" pivotButton="0" quotePrefix="0" xfId="0"/>
    <xf numFmtId="0" fontId="0" fillId="0" borderId="2"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3" applyAlignment="1" pivotButton="0" quotePrefix="0" xfId="0">
      <alignment horizontal="left" vertical="center" wrapText="1" indent="1"/>
    </xf>
    <xf numFmtId="0" fontId="5" fillId="2" borderId="4" applyAlignment="1" pivotButton="0" quotePrefix="0" xfId="0">
      <alignment horizontal="left" vertical="center" wrapText="1" indent="1"/>
    </xf>
    <xf numFmtId="0" fontId="5" fillId="2" borderId="5" applyAlignment="1" pivotButton="0" quotePrefix="0" xfId="0">
      <alignment horizontal="left" vertical="center" wrapText="1" indent="1"/>
    </xf>
    <xf numFmtId="0" fontId="0" fillId="3" borderId="6" applyAlignment="1" pivotButton="0" quotePrefix="0" xfId="0">
      <alignment horizontal="left" vertical="center" wrapText="1" indent="1"/>
    </xf>
    <xf numFmtId="0" fontId="0" fillId="3" borderId="7" applyAlignment="1" pivotButton="0" quotePrefix="0" xfId="0">
      <alignment horizontal="left" vertical="center" wrapText="1" indent="1"/>
    </xf>
    <xf numFmtId="0" fontId="0" fillId="3" borderId="8" applyAlignment="1" pivotButton="0" quotePrefix="0" xfId="0">
      <alignment horizontal="left" vertical="center" wrapText="1" indent="1"/>
    </xf>
    <xf numFmtId="0" fontId="0" fillId="3" borderId="9" applyAlignment="1" pivotButton="0" quotePrefix="0" xfId="0">
      <alignment horizontal="left" vertical="center" wrapText="1" indent="1"/>
    </xf>
    <xf numFmtId="0" fontId="0" fillId="3" borderId="10" applyAlignment="1" pivotButton="0" quotePrefix="0" xfId="0">
      <alignment horizontal="left" vertical="center" wrapText="1" indent="1"/>
    </xf>
    <xf numFmtId="0" fontId="0" fillId="3" borderId="11" applyAlignment="1" pivotButton="0" quotePrefix="0" xfId="0">
      <alignment horizontal="left" vertical="center" wrapText="1" indent="1"/>
    </xf>
    <xf numFmtId="0" fontId="0" fillId="4" borderId="12" applyAlignment="1" pivotButton="0" quotePrefix="0" xfId="0">
      <alignment horizontal="left" vertical="center" wrapText="1" indent="1"/>
    </xf>
    <xf numFmtId="0" fontId="6" fillId="0" borderId="0" applyAlignment="1" pivotButton="0" quotePrefix="0" xfId="0">
      <alignment horizontal="left" vertical="center" wrapText="1"/>
    </xf>
    <xf numFmtId="0" fontId="5" fillId="2" borderId="13" applyAlignment="1" pivotButton="0" quotePrefix="0" xfId="0">
      <alignment horizontal="center" vertical="center" wrapText="1"/>
    </xf>
    <xf numFmtId="0" fontId="7" fillId="4" borderId="14" applyAlignment="1" pivotButton="0" quotePrefix="0" xfId="0">
      <alignment horizontal="center" vertical="center" wrapText="1"/>
    </xf>
    <xf numFmtId="0" fontId="7" fillId="4" borderId="14" applyAlignment="1" pivotButton="0" quotePrefix="0" xfId="0">
      <alignment horizontal="left" vertical="center" wrapText="1"/>
    </xf>
    <xf numFmtId="0" fontId="8" fillId="5" borderId="14" applyAlignment="1" pivotButton="0" quotePrefix="0" xfId="0">
      <alignment horizontal="center" vertical="center" wrapText="1"/>
    </xf>
    <xf numFmtId="0" fontId="8" fillId="5" borderId="14" applyAlignment="1" pivotButton="0" quotePrefix="0" xfId="0">
      <alignment horizontal="left" vertical="center" wrapText="1"/>
    </xf>
    <xf numFmtId="3" fontId="8" fillId="5" borderId="14" applyAlignment="1" pivotButton="0" quotePrefix="0" xfId="0">
      <alignment horizontal="right" vertical="center" wrapText="1"/>
    </xf>
    <xf numFmtId="3" fontId="9" fillId="5" borderId="14" applyAlignment="1" pivotButton="0" quotePrefix="0" xfId="0">
      <alignment horizontal="right" vertical="center" wrapText="1"/>
    </xf>
    <xf numFmtId="0" fontId="10" fillId="5" borderId="14" applyAlignment="1" pivotButton="0" quotePrefix="0" xfId="0">
      <alignment horizontal="left" vertical="center" wrapText="1"/>
    </xf>
    <xf numFmtId="0" fontId="8" fillId="3" borderId="14" applyAlignment="1" pivotButton="0" quotePrefix="0" xfId="0">
      <alignment horizontal="center" vertical="center" wrapText="1"/>
    </xf>
    <xf numFmtId="0" fontId="8" fillId="3" borderId="14" applyAlignment="1" pivotButton="0" quotePrefix="0" xfId="0">
      <alignment horizontal="left" vertical="center" wrapText="1"/>
    </xf>
    <xf numFmtId="3" fontId="8" fillId="3" borderId="14" applyAlignment="1" pivotButton="0" quotePrefix="0" xfId="0">
      <alignment horizontal="right" vertical="center" wrapText="1"/>
    </xf>
    <xf numFmtId="3" fontId="9" fillId="3" borderId="14" applyAlignment="1" pivotButton="0" quotePrefix="0" xfId="0">
      <alignment horizontal="right" vertical="center" wrapText="1"/>
    </xf>
    <xf numFmtId="0" fontId="10" fillId="3" borderId="14" applyAlignment="1" pivotButton="0" quotePrefix="0" xfId="0">
      <alignment horizontal="left" vertical="center" wrapText="1"/>
    </xf>
    <xf numFmtId="164" fontId="8" fillId="3" borderId="14" applyAlignment="1" pivotButton="0" quotePrefix="0" xfId="0">
      <alignment horizontal="right" vertical="center" wrapText="1"/>
    </xf>
    <xf numFmtId="0" fontId="11" fillId="0" borderId="15" applyAlignment="1" pivotButton="0" quotePrefix="0" xfId="0">
      <alignment horizontal="right" vertical="center" wrapText="1"/>
    </xf>
    <xf numFmtId="3" fontId="11" fillId="0" borderId="15" applyAlignment="1" pivotButton="0" quotePrefix="0" xfId="0">
      <alignment horizontal="right" vertical="center" wrapText="1"/>
    </xf>
    <xf numFmtId="0" fontId="0" fillId="0" borderId="15" applyAlignment="1" pivotButton="0" quotePrefix="0" xfId="0">
      <alignment horizontal="left" vertical="center" wrapText="1"/>
    </xf>
    <xf numFmtId="0" fontId="12" fillId="0" borderId="0" applyAlignment="1" pivotButton="0" quotePrefix="0" xfId="0">
      <alignment horizontal="right" vertical="center" wrapText="1"/>
    </xf>
    <xf numFmtId="9" fontId="12" fillId="0" borderId="0" applyAlignment="1" pivotButton="0" quotePrefix="0" xfId="0">
      <alignment horizontal="center" vertical="center" wrapText="1"/>
    </xf>
    <xf numFmtId="3" fontId="12" fillId="0" borderId="0" applyAlignment="1" pivotButton="0" quotePrefix="0" xfId="0">
      <alignment horizontal="right" vertical="center" wrapText="1"/>
    </xf>
    <xf numFmtId="0" fontId="13" fillId="2" borderId="0" applyAlignment="1" pivotButton="0" quotePrefix="0" xfId="0">
      <alignment horizontal="right" vertical="center" wrapText="1"/>
    </xf>
    <xf numFmtId="3" fontId="13" fillId="2" borderId="0" applyAlignment="1" pivotButton="0" quotePrefix="0" xfId="0">
      <alignment horizontal="right" vertical="center" wrapText="1"/>
    </xf>
    <xf numFmtId="0" fontId="0" fillId="2" borderId="0" applyAlignment="1" pivotButton="0" quotePrefix="0" xfId="0">
      <alignment horizontal="left" vertical="center" wrapText="1"/>
    </xf>
    <xf numFmtId="0" fontId="14" fillId="4" borderId="2" applyAlignment="1" pivotButton="0" quotePrefix="0" xfId="0">
      <alignment horizontal="left" vertical="center" wrapText="1" indent="1"/>
    </xf>
    <xf numFmtId="0" fontId="15" fillId="0" borderId="2" applyAlignment="1" pivotButton="0" quotePrefix="0" xfId="0">
      <alignment horizontal="left" vertical="center"/>
    </xf>
    <xf numFmtId="0" fontId="16" fillId="0" borderId="0" applyAlignment="1" pivotButton="0" quotePrefix="0" xfId="0">
      <alignment horizontal="left" vertical="top" wrapText="1"/>
    </xf>
    <xf numFmtId="0" fontId="15"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19050</colOff>
      <row>0</row>
      <rowOff>28575</rowOff>
    </from>
    <ext cx="8763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71"/>
  <sheetViews>
    <sheetView showGridLines="0" workbookViewId="0">
      <selection activeCell="A1" sqref="A1"/>
    </sheetView>
  </sheetViews>
  <sheetFormatPr baseColWidth="8" defaultRowHeight="15"/>
  <cols>
    <col width="5.5" customWidth="1" min="1" max="1"/>
    <col width="40" customWidth="1" min="2" max="2"/>
    <col width="8" customWidth="1" min="3" max="3"/>
    <col width="9" customWidth="1" min="4" max="4"/>
    <col width="14.5" customWidth="1" min="5" max="5"/>
    <col width="16.5" customWidth="1" min="6" max="6"/>
    <col width="14" customWidth="1" min="7" max="7"/>
  </cols>
  <sheetData>
    <row r="1" ht="28" customHeight="1">
      <c r="B1" s="1" t="inlineStr">
        <is>
          <t>CÔNG TY TNHH KỸ THUẬT CÔNG TRÌNH BLT</t>
        </is>
      </c>
      <c r="C1" s="1" t="n"/>
      <c r="D1" s="1" t="n"/>
      <c r="E1" s="1" t="n"/>
      <c r="F1" s="1" t="n"/>
      <c r="G1" s="1" t="n"/>
    </row>
    <row r="2" ht="15" customHeight="1">
      <c r="B2" s="2" t="inlineStr">
        <is>
          <t>Địa chỉ: Số 2A đường Nguyễn Khánh Toàn, khối Trường Phúc, phường Trường Vinh, tỉnh Nghệ An, Việt Nam</t>
        </is>
      </c>
      <c r="C2" s="2" t="n"/>
      <c r="D2" s="2" t="n"/>
      <c r="E2" s="2" t="n"/>
      <c r="F2" s="2" t="n"/>
      <c r="G2" s="2" t="n"/>
    </row>
    <row r="3" ht="15" customHeight="1">
      <c r="B3" s="2" t="inlineStr">
        <is>
          <t>MST: 2902269718   |   Điện thoại: 0984 586 089</t>
        </is>
      </c>
      <c r="C3" s="2" t="n"/>
      <c r="D3" s="2" t="n"/>
      <c r="E3" s="2" t="n"/>
      <c r="F3" s="2" t="n"/>
      <c r="G3" s="2" t="n"/>
    </row>
    <row r="4" ht="15" customHeight="1">
      <c r="B4" s="2" t="inlineStr">
        <is>
          <t>Email: hobinh150589@gmail.com</t>
        </is>
      </c>
      <c r="C4" s="2" t="n"/>
      <c r="D4" s="2" t="n"/>
      <c r="E4" s="2" t="n"/>
      <c r="F4" s="2" t="n"/>
      <c r="G4" s="2" t="n"/>
    </row>
    <row r="5" ht="10" customHeight="1">
      <c r="A5" s="3" t="n"/>
      <c r="B5" s="3" t="n"/>
      <c r="C5" s="3" t="n"/>
      <c r="D5" s="3" t="n"/>
      <c r="E5" s="3" t="n"/>
      <c r="F5" s="3" t="n"/>
      <c r="G5" s="3" t="n"/>
    </row>
    <row r="6" ht="4" customHeight="1">
      <c r="A6" s="4" t="n"/>
      <c r="B6" s="4" t="n"/>
      <c r="C6" s="4" t="n"/>
      <c r="D6" s="4" t="n"/>
      <c r="E6" s="4" t="n"/>
      <c r="F6" s="4" t="n"/>
      <c r="G6" s="4" t="n"/>
    </row>
    <row r="7" ht="10" customHeight="1"/>
    <row r="8" ht="34" customHeight="1">
      <c r="A8" s="5" t="inlineStr">
        <is>
          <t>BẢNG BÁO GIÁ</t>
        </is>
      </c>
      <c r="B8" s="5" t="n"/>
      <c r="C8" s="5" t="n"/>
      <c r="D8" s="5" t="n"/>
      <c r="E8" s="5" t="n"/>
      <c r="F8" s="5" t="n"/>
      <c r="G8" s="5" t="n"/>
    </row>
    <row r="9" ht="16" customHeight="1">
      <c r="A9" s="6" t="inlineStr">
        <is>
          <t>QUOTATION</t>
        </is>
      </c>
      <c r="B9" s="6" t="n"/>
      <c r="C9" s="6" t="n"/>
      <c r="D9" s="6" t="n"/>
      <c r="E9" s="6" t="n"/>
      <c r="F9" s="6" t="n"/>
      <c r="G9" s="6" t="n"/>
    </row>
    <row r="10" ht="10" customHeight="1"/>
    <row r="11" ht="20" customHeight="1">
      <c r="A11" s="7" t="inlineStr">
        <is>
          <t>THÔNG TIN KHÁCH HÀNG</t>
        </is>
      </c>
      <c r="B11" s="8" t="n"/>
      <c r="C11" s="9" t="n"/>
      <c r="E11" s="7" t="inlineStr">
        <is>
          <t>THÔNG TIN BÁO GIÁ</t>
        </is>
      </c>
      <c r="F11" s="8" t="n"/>
      <c r="G11" s="9" t="n"/>
    </row>
    <row r="12" ht="17.5" customHeight="1">
      <c r="A12" s="10" t="inlineStr">
        <is>
          <r>
            <rPr>
              <rFont val="Arial"/>
              <color rgb="00595959"/>
              <sz val="9.5"/>
            </rPr>
            <t xml:space="preserve">Kính gửi: </t>
          </r>
          <r>
            <rPr>
              <rFont val="Arial"/>
              <b val="1"/>
              <color rgb="00000000"/>
              <sz val="9.5"/>
            </rPr>
            <t>CÔNG TY MEGA</t>
          </r>
        </is>
      </c>
      <c r="B12" s="11" t="n"/>
      <c r="C12" s="12" t="n"/>
      <c r="E12" s="10" t="inlineStr">
        <is>
          <r>
            <rPr>
              <rFont val="Arial"/>
              <color rgb="00595959"/>
              <sz val="9.5"/>
            </rPr>
            <t xml:space="preserve">Số báo giá: </t>
          </r>
          <r>
            <rPr>
              <rFont val="Arial"/>
              <b val="1"/>
              <color rgb="00000000"/>
              <sz val="9.5"/>
            </rPr>
            <t>BG-2026/001</t>
          </r>
        </is>
      </c>
      <c r="F12" s="11" t="n"/>
      <c r="G12" s="12" t="n"/>
    </row>
    <row r="13" ht="17.5" customHeight="1">
      <c r="A13" s="10" t="inlineStr">
        <is>
          <r>
            <rPr>
              <rFont val="Arial"/>
              <color rgb="00595959"/>
              <sz val="9.5"/>
            </rPr>
            <t xml:space="preserve">Người liên hệ: </t>
          </r>
        </is>
      </c>
      <c r="B13" s="11" t="n"/>
      <c r="C13" s="12" t="n"/>
      <c r="E13" s="10" t="inlineStr">
        <is>
          <r>
            <rPr>
              <rFont val="Arial"/>
              <color rgb="00595959"/>
              <sz val="9.5"/>
            </rPr>
            <t xml:space="preserve">Ngày báo giá: </t>
          </r>
          <r>
            <rPr>
              <rFont val="Arial"/>
              <color rgb="00000000"/>
              <sz val="9.5"/>
            </rPr>
            <t>10/10/2026</t>
          </r>
        </is>
      </c>
      <c r="F13" s="11" t="n"/>
      <c r="G13" s="12" t="n"/>
    </row>
    <row r="14" ht="17.5" customHeight="1">
      <c r="A14" s="10" t="inlineStr">
        <is>
          <r>
            <rPr>
              <rFont val="Arial"/>
              <color rgb="00595959"/>
              <sz val="9.5"/>
            </rPr>
            <t xml:space="preserve">Điện thoại: </t>
          </r>
        </is>
      </c>
      <c r="B14" s="11" t="n"/>
      <c r="C14" s="12" t="n"/>
      <c r="E14" s="10" t="inlineStr">
        <is>
          <r>
            <rPr>
              <rFont val="Arial"/>
              <color rgb="00595959"/>
              <sz val="9.5"/>
            </rPr>
            <t xml:space="preserve">Hiệu lực: </t>
          </r>
          <r>
            <rPr>
              <rFont val="Arial"/>
              <color rgb="00000000"/>
              <sz val="9.5"/>
            </rPr>
            <t>30 ngày</t>
          </r>
        </is>
      </c>
      <c r="F14" s="11" t="n"/>
      <c r="G14" s="12" t="n"/>
    </row>
    <row r="15" ht="17.5" customHeight="1">
      <c r="A15" s="13" t="inlineStr">
        <is>
          <r>
            <rPr>
              <rFont val="Arial"/>
              <color rgb="00595959"/>
              <sz val="9.5"/>
            </rPr>
            <t xml:space="preserve">Địa chỉ: </t>
          </r>
        </is>
      </c>
      <c r="B15" s="14" t="n"/>
      <c r="C15" s="15" t="n"/>
      <c r="E15" s="13" t="inlineStr">
        <is>
          <r>
            <rPr>
              <rFont val="Arial"/>
              <color rgb="00595959"/>
              <sz val="9.5"/>
            </rPr>
            <t xml:space="preserve">Người phụ trách: </t>
          </r>
          <r>
            <rPr>
              <rFont val="Arial"/>
              <color rgb="00000000"/>
              <sz val="9.5"/>
            </rPr>
            <t>HỒ VĂN BÌNH – 0984 586 089</t>
          </r>
        </is>
      </c>
      <c r="F15" s="14" t="n"/>
      <c r="G15" s="15" t="n"/>
    </row>
    <row r="16" ht="10" customHeight="1"/>
    <row r="17" ht="22" customHeight="1">
      <c r="A17" s="16" t="inlineStr">
        <is>
          <r>
            <rPr>
              <rFont val="Arial"/>
              <b val="1"/>
              <color rgb="000D2B66"/>
              <sz val="9.5"/>
            </rPr>
            <t xml:space="preserve">CÔNG TRÌNH:  </t>
          </r>
          <r>
            <rPr>
              <rFont val="Arial"/>
              <b val="1"/>
              <color rgb="00000000"/>
              <sz val="9.5"/>
            </rPr>
            <t>Hạng mục Hệ thống điện điều hòa – Công trình lắp đặt điều hòa không khí MS1 tầng 1 &amp; BP2, dự án MEGA giai đoạn 1</t>
          </r>
        </is>
      </c>
      <c r="B17" s="16" t="n"/>
      <c r="C17" s="16" t="n"/>
      <c r="D17" s="16" t="n"/>
      <c r="E17" s="16" t="n"/>
      <c r="F17" s="16" t="n"/>
      <c r="G17" s="16" t="n"/>
    </row>
    <row r="18" ht="10" customHeight="1"/>
    <row r="19" ht="31" customHeight="1">
      <c r="A19" s="17" t="inlineStr">
        <is>
          <t>CÔNG TY TNHH KỸ THUẬT CÔNG TRÌNH BLT trân trọng cảm ơn Quý khách đã quan tâm. Chúng tôi xin gửi tới Quý khách bảng báo giá cho công trình nêu trên như sau:</t>
        </is>
      </c>
      <c r="B19" s="17" t="n"/>
      <c r="C19" s="17" t="n"/>
      <c r="D19" s="17" t="n"/>
      <c r="E19" s="17" t="n"/>
      <c r="F19" s="17" t="n"/>
      <c r="G19" s="17" t="n"/>
    </row>
    <row r="20" ht="8" customHeight="1"/>
    <row r="21" ht="32" customHeight="1">
      <c r="A21" s="18" t="inlineStr">
        <is>
          <t>STT</t>
        </is>
      </c>
      <c r="B21" s="18" t="inlineStr">
        <is>
          <t>Tên hàng hóa / Quy cách kỹ thuật</t>
        </is>
      </c>
      <c r="C21" s="18" t="inlineStr">
        <is>
          <t>ĐVT</t>
        </is>
      </c>
      <c r="D21" s="18" t="inlineStr">
        <is>
          <t>Số lượng</t>
        </is>
      </c>
      <c r="E21" s="18" t="inlineStr">
        <is>
          <t>Đơn giá
(VNĐ)</t>
        </is>
      </c>
      <c r="F21" s="18" t="inlineStr">
        <is>
          <t>Thành tiền
(VNĐ)</t>
        </is>
      </c>
      <c r="G21" s="18" t="inlineStr">
        <is>
          <t>Ghi chú</t>
        </is>
      </c>
    </row>
    <row r="22" ht="18" customHeight="1">
      <c r="A22" s="19" t="inlineStr">
        <is>
          <t>I</t>
        </is>
      </c>
      <c r="B22" s="20" t="inlineStr">
        <is>
          <t>TỦ ĐIỆN, TỦ ĐIỀU KHIỂN</t>
        </is>
      </c>
      <c r="C22" s="20" t="n"/>
      <c r="D22" s="20" t="n"/>
      <c r="E22" s="20" t="n"/>
      <c r="F22" s="20" t="n"/>
      <c r="G22" s="20" t="n"/>
    </row>
    <row r="23" ht="30" customHeight="1">
      <c r="A23" s="21" t="n">
        <v>1</v>
      </c>
      <c r="B23" s="22" t="inlineStr">
        <is>
          <t>Tủ đồng hồ điện thông minh (gồm đồng hồ điện đa năng, biến dòng, cầu đấu dây; lắp treo tường)</t>
        </is>
      </c>
      <c r="C23" s="21" t="inlineStr">
        <is>
          <t>Tủ</t>
        </is>
      </c>
      <c r="D23" s="23" t="n">
        <v>3</v>
      </c>
      <c r="E23" s="23" t="n">
        <v>7700000</v>
      </c>
      <c r="F23" s="24">
        <f>IF(OR(D23="",E23=""),"",ROUND(D23*E23,0))</f>
        <v/>
      </c>
      <c r="G23" s="25" t="inlineStr">
        <is>
          <t>Acrel</t>
        </is>
      </c>
    </row>
    <row r="24" ht="30" customHeight="1">
      <c r="A24" s="26" t="n">
        <v>2</v>
      </c>
      <c r="B24" s="27" t="inlineStr">
        <is>
          <t>Tủ điều khiển biến tần bơm nước lạnh ACPL-01 (tủ kiểu Rittal 1800×1000×800, đặt sàn)</t>
        </is>
      </c>
      <c r="C24" s="26" t="inlineStr">
        <is>
          <t>Tủ</t>
        </is>
      </c>
      <c r="D24" s="28" t="n">
        <v>1</v>
      </c>
      <c r="E24" s="28" t="n">
        <v>220000000</v>
      </c>
      <c r="F24" s="29">
        <f>IF(OR(D24="",E24=""),"",ROUND(D24*E24,0))</f>
        <v/>
      </c>
      <c r="G24" s="30" t="inlineStr">
        <is>
          <t>ABB, Schneider; đồng hồ Acrel</t>
        </is>
      </c>
    </row>
    <row r="25" ht="30" customHeight="1">
      <c r="A25" s="21" t="n">
        <v>3</v>
      </c>
      <c r="B25" s="22" t="inlineStr">
        <is>
          <t>Tủ điều khiển biến tần bơm nước lạnh ACPL-02 (tủ kiểu Rittal 1800×1000×800, đặt sàn)</t>
        </is>
      </c>
      <c r="C25" s="21" t="inlineStr">
        <is>
          <t>Tủ</t>
        </is>
      </c>
      <c r="D25" s="23" t="n">
        <v>1</v>
      </c>
      <c r="E25" s="23" t="n">
        <v>220000000</v>
      </c>
      <c r="F25" s="24">
        <f>IF(OR(D25="",E25=""),"",ROUND(D25*E25,0))</f>
        <v/>
      </c>
      <c r="G25" s="25" t="inlineStr">
        <is>
          <t>ABB, Schneider; đồng hồ Acrel</t>
        </is>
      </c>
    </row>
    <row r="26" ht="30" customHeight="1">
      <c r="A26" s="26" t="n">
        <v>4</v>
      </c>
      <c r="B26" s="27" t="inlineStr">
        <is>
          <t>Tủ điều khiển biến tần bơm nước giải nhiệt ACPL-03 (tủ kiểu Rittal 1800×1000×800, đặt sàn)</t>
        </is>
      </c>
      <c r="C26" s="26" t="inlineStr">
        <is>
          <t>Tủ</t>
        </is>
      </c>
      <c r="D26" s="28" t="n">
        <v>1</v>
      </c>
      <c r="E26" s="28" t="n">
        <v>220000000</v>
      </c>
      <c r="F26" s="29">
        <f>IF(OR(D26="",E26=""),"",ROUND(D26*E26,0))</f>
        <v/>
      </c>
      <c r="G26" s="30" t="inlineStr">
        <is>
          <t>ABB, Schneider; đồng hồ Acrel</t>
        </is>
      </c>
    </row>
    <row r="27" ht="30" customHeight="1">
      <c r="A27" s="21" t="n">
        <v>5</v>
      </c>
      <c r="B27" s="22" t="inlineStr">
        <is>
          <t>Tủ điều khiển biến tần bơm nước giải nhiệt ACPL-04 (tủ kiểu Rittal 1800×1000×800, đặt sàn)</t>
        </is>
      </c>
      <c r="C27" s="21" t="inlineStr">
        <is>
          <t>Tủ</t>
        </is>
      </c>
      <c r="D27" s="23" t="n">
        <v>1</v>
      </c>
      <c r="E27" s="23" t="n">
        <v>203500000</v>
      </c>
      <c r="F27" s="24">
        <f>IF(OR(D27="",E27=""),"",ROUND(D27*E27,0))</f>
        <v/>
      </c>
      <c r="G27" s="25" t="inlineStr">
        <is>
          <t>ABB, Schneider; đồng hồ Acrel</t>
        </is>
      </c>
    </row>
    <row r="28" ht="30" customHeight="1">
      <c r="A28" s="26" t="n">
        <v>6</v>
      </c>
      <c r="B28" s="27" t="inlineStr">
        <is>
          <t>Tủ điều khiển biến tần tháp giải nhiệt ACPL-05 (tủ kiểu Rittal 1800×1200×800, đặt sàn)</t>
        </is>
      </c>
      <c r="C28" s="26" t="inlineStr">
        <is>
          <t>Tủ</t>
        </is>
      </c>
      <c r="D28" s="28" t="n">
        <v>1</v>
      </c>
      <c r="E28" s="28" t="n">
        <v>181500000</v>
      </c>
      <c r="F28" s="29">
        <f>IF(OR(D28="",E28=""),"",ROUND(D28*E28,0))</f>
        <v/>
      </c>
      <c r="G28" s="30" t="inlineStr">
        <is>
          <t>ABB, Schneider; đồng hồ Acrel</t>
        </is>
      </c>
    </row>
    <row r="29" ht="30" customHeight="1">
      <c r="A29" s="21" t="n">
        <v>7</v>
      </c>
      <c r="B29" s="22" t="inlineStr">
        <is>
          <t>Tủ điều khiển biến tần tháp giải nhiệt ACPL-06 (tủ kiểu Rittal 1800×800×800, đặt sàn)</t>
        </is>
      </c>
      <c r="C29" s="21" t="inlineStr">
        <is>
          <t>Tủ</t>
        </is>
      </c>
      <c r="D29" s="23" t="n">
        <v>1</v>
      </c>
      <c r="E29" s="23" t="n">
        <v>165000000</v>
      </c>
      <c r="F29" s="24">
        <f>IF(OR(D29="",E29=""),"",ROUND(D29*E29,0))</f>
        <v/>
      </c>
      <c r="G29" s="25" t="inlineStr">
        <is>
          <t>ABB, Schneider; đồng hồ Acrel</t>
        </is>
      </c>
    </row>
    <row r="30" ht="30" customHeight="1">
      <c r="A30" s="26" t="n">
        <v>8</v>
      </c>
      <c r="B30" s="27" t="inlineStr">
        <is>
          <t>Tủ điều khiển van điện ACPL-07 (tủ kiểu Rittal 1800×800×800, đặt sàn)</t>
        </is>
      </c>
      <c r="C30" s="26" t="inlineStr">
        <is>
          <t>Tủ</t>
        </is>
      </c>
      <c r="D30" s="28" t="n">
        <v>1</v>
      </c>
      <c r="E30" s="28" t="n">
        <v>154000000</v>
      </c>
      <c r="F30" s="29">
        <f>IF(OR(D30="",E30=""),"",ROUND(D30*E30,0))</f>
        <v/>
      </c>
      <c r="G30" s="30" t="inlineStr">
        <is>
          <t>ABB, Schneider; đồng hồ Acrel</t>
        </is>
      </c>
    </row>
    <row r="31" ht="18" customHeight="1">
      <c r="A31" s="19" t="inlineStr">
        <is>
          <t>II</t>
        </is>
      </c>
      <c r="B31" s="20" t="inlineStr">
        <is>
          <t>CÁP ĐIỆN, CÁP ĐIỀU KHIỂN</t>
        </is>
      </c>
      <c r="C31" s="20" t="n"/>
      <c r="D31" s="20" t="n"/>
      <c r="E31" s="20" t="n"/>
      <c r="F31" s="20" t="n"/>
      <c r="G31" s="20" t="n"/>
    </row>
    <row r="32" ht="30" customHeight="1">
      <c r="A32" s="21" t="n">
        <v>9</v>
      </c>
      <c r="B32" s="22" t="inlineStr">
        <is>
          <t>Cáp điện động lực lõi đồng YJV-3×70+1×35</t>
        </is>
      </c>
      <c r="C32" s="21" t="inlineStr">
        <is>
          <t>m</t>
        </is>
      </c>
      <c r="D32" s="23" t="n">
        <v>129</v>
      </c>
      <c r="E32" s="23" t="n">
        <v>1650000</v>
      </c>
      <c r="F32" s="24">
        <f>IF(OR(D32="",E32=""),"",ROUND(D32*E32,0))</f>
        <v/>
      </c>
      <c r="G32" s="25" t="inlineStr">
        <is>
          <t>Chengtiantai, Nanyang, LS, Taya</t>
        </is>
      </c>
    </row>
    <row r="33" ht="30" customHeight="1">
      <c r="A33" s="26" t="n">
        <v>10</v>
      </c>
      <c r="B33" s="27" t="inlineStr">
        <is>
          <t>Cáp điện động lực lõi đồng YJV-3×50+1×25</t>
        </is>
      </c>
      <c r="C33" s="26" t="inlineStr">
        <is>
          <t>m</t>
        </is>
      </c>
      <c r="D33" s="28" t="n">
        <v>213</v>
      </c>
      <c r="E33" s="28" t="n">
        <v>1210000</v>
      </c>
      <c r="F33" s="29">
        <f>IF(OR(D33="",E33=""),"",ROUND(D33*E33,0))</f>
        <v/>
      </c>
      <c r="G33" s="30" t="inlineStr">
        <is>
          <t>Chengtiantai, Nanyang, LS, Taya</t>
        </is>
      </c>
    </row>
    <row r="34" ht="30" customHeight="1">
      <c r="A34" s="21" t="n">
        <v>11</v>
      </c>
      <c r="B34" s="22" t="inlineStr">
        <is>
          <t>Cáp điện động lực lõi đồng YJV-3×10+1×6</t>
        </is>
      </c>
      <c r="C34" s="21" t="inlineStr">
        <is>
          <t>m</t>
        </is>
      </c>
      <c r="D34" s="23" t="n">
        <v>542</v>
      </c>
      <c r="E34" s="23" t="n">
        <v>462000</v>
      </c>
      <c r="F34" s="24">
        <f>IF(OR(D34="",E34=""),"",ROUND(D34*E34,0))</f>
        <v/>
      </c>
      <c r="G34" s="25" t="inlineStr">
        <is>
          <t>Chengtiantai, Nanyang, LS, Taya</t>
        </is>
      </c>
    </row>
    <row r="35" ht="30" customHeight="1">
      <c r="A35" s="26" t="n">
        <v>12</v>
      </c>
      <c r="B35" s="27" t="inlineStr">
        <is>
          <t>Cáp điện động lực lõi đồng YJV-5×2.5</t>
        </is>
      </c>
      <c r="C35" s="26" t="inlineStr">
        <is>
          <t>m</t>
        </is>
      </c>
      <c r="D35" s="28" t="n">
        <v>58</v>
      </c>
      <c r="E35" s="28" t="n">
        <v>374000</v>
      </c>
      <c r="F35" s="29">
        <f>IF(OR(D35="",E35=""),"",ROUND(D35*E35,0))</f>
        <v/>
      </c>
      <c r="G35" s="30" t="inlineStr">
        <is>
          <t>Chengtiantai, Nanyang, LS, Taya</t>
        </is>
      </c>
    </row>
    <row r="36" ht="30" customHeight="1">
      <c r="A36" s="21" t="n">
        <v>13</v>
      </c>
      <c r="B36" s="22" t="inlineStr">
        <is>
          <t>Cáp điện động lực lõi đồng YJV-4×2.5</t>
        </is>
      </c>
      <c r="C36" s="21" t="inlineStr">
        <is>
          <t>m</t>
        </is>
      </c>
      <c r="D36" s="23" t="n">
        <v>884</v>
      </c>
      <c r="E36" s="23" t="n">
        <v>297000</v>
      </c>
      <c r="F36" s="24">
        <f>IF(OR(D36="",E36=""),"",ROUND(D36*E36,0))</f>
        <v/>
      </c>
      <c r="G36" s="25" t="inlineStr">
        <is>
          <t>Chengtiantai, Nanyang, LS, Taya</t>
        </is>
      </c>
    </row>
    <row r="37" ht="30" customHeight="1">
      <c r="A37" s="26" t="n">
        <v>14</v>
      </c>
      <c r="B37" s="27" t="inlineStr">
        <is>
          <t>Cáp điện động lực lõi đồng YJV-3×2.5</t>
        </is>
      </c>
      <c r="C37" s="26" t="inlineStr">
        <is>
          <t>m</t>
        </is>
      </c>
      <c r="D37" s="28" t="n">
        <v>87</v>
      </c>
      <c r="E37" s="28" t="n">
        <v>231000</v>
      </c>
      <c r="F37" s="29">
        <f>IF(OR(D37="",E37=""),"",ROUND(D37*E37,0))</f>
        <v/>
      </c>
      <c r="G37" s="30" t="inlineStr">
        <is>
          <t>Chengtiantai, Nanyang, LS, Taya</t>
        </is>
      </c>
    </row>
    <row r="38" ht="30" customHeight="1">
      <c r="A38" s="21" t="n">
        <v>15</v>
      </c>
      <c r="B38" s="22" t="inlineStr">
        <is>
          <t>Cáp điều khiển lõi đồng RVV-3×1.0</t>
        </is>
      </c>
      <c r="C38" s="21" t="inlineStr">
        <is>
          <t>m</t>
        </is>
      </c>
      <c r="D38" s="23" t="n">
        <v>1031</v>
      </c>
      <c r="E38" s="23" t="n">
        <v>165000</v>
      </c>
      <c r="F38" s="24">
        <f>IF(OR(D38="",E38=""),"",ROUND(D38*E38,0))</f>
        <v/>
      </c>
      <c r="G38" s="25" t="inlineStr">
        <is>
          <t>Chengtiantai, Nanyang, LS, Taya</t>
        </is>
      </c>
    </row>
    <row r="39" ht="18" customHeight="1">
      <c r="A39" s="19" t="inlineStr">
        <is>
          <t>III</t>
        </is>
      </c>
      <c r="B39" s="20" t="inlineStr">
        <is>
          <t>MÁNG CÁP, ỐNG LUỒN DÂY, GIÁ ĐỠ</t>
        </is>
      </c>
      <c r="C39" s="20" t="n"/>
      <c r="D39" s="20" t="n"/>
      <c r="E39" s="20" t="n"/>
      <c r="F39" s="20" t="n"/>
      <c r="G39" s="20" t="n"/>
    </row>
    <row r="40" ht="30" customHeight="1">
      <c r="A40" s="26" t="n">
        <v>16</v>
      </c>
      <c r="B40" s="27" t="inlineStr">
        <is>
          <t>Máng cáp thép mạ kẽm 800×200×1.5mm (gồm phụ kiện)</t>
        </is>
      </c>
      <c r="C40" s="26" t="inlineStr">
        <is>
          <t>m</t>
        </is>
      </c>
      <c r="D40" s="28" t="n">
        <v>10</v>
      </c>
      <c r="E40" s="28" t="n">
        <v>1518000</v>
      </c>
      <c r="F40" s="29">
        <f>IF(OR(D40="",E40=""),"",ROUND(D40*E40,0))</f>
        <v/>
      </c>
      <c r="G40" s="30" t="inlineStr">
        <is>
          <t>Hàng trong nước</t>
        </is>
      </c>
    </row>
    <row r="41" ht="30" customHeight="1">
      <c r="A41" s="21" t="n">
        <v>17</v>
      </c>
      <c r="B41" s="22" t="inlineStr">
        <is>
          <t>Máng cáp thép mạ kẽm 400×200×1.2mm (gồm phụ kiện)</t>
        </is>
      </c>
      <c r="C41" s="21" t="inlineStr">
        <is>
          <t>m</t>
        </is>
      </c>
      <c r="D41" s="23" t="n">
        <v>18</v>
      </c>
      <c r="E41" s="23" t="n">
        <v>1320000</v>
      </c>
      <c r="F41" s="24">
        <f>IF(OR(D41="",E41=""),"",ROUND(D41*E41,0))</f>
        <v/>
      </c>
      <c r="G41" s="25" t="inlineStr">
        <is>
          <t>Hàng trong nước</t>
        </is>
      </c>
    </row>
    <row r="42" ht="30" customHeight="1">
      <c r="A42" s="26" t="n">
        <v>18</v>
      </c>
      <c r="B42" s="27" t="inlineStr">
        <is>
          <t>Máng cáp thép mạ kẽm 300×150×1.2mm (gồm phụ kiện)</t>
        </is>
      </c>
      <c r="C42" s="26" t="inlineStr">
        <is>
          <t>m</t>
        </is>
      </c>
      <c r="D42" s="28" t="n">
        <v>52</v>
      </c>
      <c r="E42" s="28" t="n">
        <v>880000</v>
      </c>
      <c r="F42" s="29">
        <f>IF(OR(D42="",E42=""),"",ROUND(D42*E42,0))</f>
        <v/>
      </c>
      <c r="G42" s="30" t="inlineStr">
        <is>
          <t>Hàng trong nước</t>
        </is>
      </c>
    </row>
    <row r="43" ht="30" customHeight="1">
      <c r="A43" s="21" t="n">
        <v>19</v>
      </c>
      <c r="B43" s="22" t="inlineStr">
        <is>
          <t>Máng cáp thép mạ kẽm 200×100×1.0mm (gồm phụ kiện)</t>
        </is>
      </c>
      <c r="C43" s="21" t="inlineStr">
        <is>
          <t>m</t>
        </is>
      </c>
      <c r="D43" s="23" t="n">
        <v>42</v>
      </c>
      <c r="E43" s="23" t="n">
        <v>550000</v>
      </c>
      <c r="F43" s="24">
        <f>IF(OR(D43="",E43=""),"",ROUND(D43*E43,0))</f>
        <v/>
      </c>
      <c r="G43" s="25" t="inlineStr">
        <is>
          <t>Hàng trong nước</t>
        </is>
      </c>
    </row>
    <row r="44" ht="30" customHeight="1">
      <c r="A44" s="26" t="n">
        <v>20</v>
      </c>
      <c r="B44" s="27" t="inlineStr">
        <is>
          <t>Máng cáp thép mạ kẽm 150×100×1.0mm (gồm phụ kiện)</t>
        </is>
      </c>
      <c r="C44" s="26" t="inlineStr">
        <is>
          <t>m</t>
        </is>
      </c>
      <c r="D44" s="28" t="n">
        <v>34</v>
      </c>
      <c r="E44" s="28" t="n">
        <v>517000</v>
      </c>
      <c r="F44" s="29">
        <f>IF(OR(D44="",E44=""),"",ROUND(D44*E44,0))</f>
        <v/>
      </c>
      <c r="G44" s="30" t="inlineStr">
        <is>
          <t>Hàng trong nước</t>
        </is>
      </c>
    </row>
    <row r="45" ht="30" customHeight="1">
      <c r="A45" s="21" t="n">
        <v>21</v>
      </c>
      <c r="B45" s="22" t="inlineStr">
        <is>
          <t>Ống luồn dây điện PVC cứng U-PVC Φ25 (gồm phụ kiện)</t>
        </is>
      </c>
      <c r="C45" s="21" t="inlineStr">
        <is>
          <t>m</t>
        </is>
      </c>
      <c r="D45" s="23" t="n">
        <v>104</v>
      </c>
      <c r="E45" s="23" t="n">
        <v>198000</v>
      </c>
      <c r="F45" s="24">
        <f>IF(OR(D45="",E45=""),"",ROUND(D45*E45,0))</f>
        <v/>
      </c>
      <c r="G45" s="25" t="inlineStr">
        <is>
          <t>Lesso, Rifeng</t>
        </is>
      </c>
    </row>
    <row r="46" ht="30" customHeight="1">
      <c r="A46" s="26" t="n">
        <v>22</v>
      </c>
      <c r="B46" s="27" t="inlineStr">
        <is>
          <t>Giá treo đỡ máng cáp, ống luồn dây (thép góc, ty ren)</t>
        </is>
      </c>
      <c r="C46" s="26" t="inlineStr">
        <is>
          <t>kg</t>
        </is>
      </c>
      <c r="D46" s="31" t="n">
        <v>610.7</v>
      </c>
      <c r="E46" s="28" t="n">
        <v>275000</v>
      </c>
      <c r="F46" s="29">
        <f>IF(OR(D46="",E46=""),"",ROUND(D46*E46,0))</f>
        <v/>
      </c>
      <c r="G46" s="30" t="inlineStr">
        <is>
          <t>Tiêu chuẩn GB</t>
        </is>
      </c>
    </row>
    <row r="47" ht="18" customHeight="1">
      <c r="A47" s="19" t="inlineStr">
        <is>
          <t>IV</t>
        </is>
      </c>
      <c r="B47" s="20" t="inlineStr">
        <is>
          <t>VẬT TƯ PHỤ VÀ ĐẤU NỐI</t>
        </is>
      </c>
      <c r="C47" s="20" t="n"/>
      <c r="D47" s="20" t="n"/>
      <c r="E47" s="20" t="n"/>
      <c r="F47" s="20" t="n"/>
      <c r="G47" s="20" t="n"/>
    </row>
    <row r="48" ht="30" customHeight="1">
      <c r="A48" s="21" t="n">
        <v>23</v>
      </c>
      <c r="B48" s="22" t="inlineStr">
        <is>
          <t>Vật tư phụ lắp đặt (đầu cos, dây rút, băng keo điện...)</t>
        </is>
      </c>
      <c r="C48" s="21" t="inlineStr">
        <is>
          <t>Gói</t>
        </is>
      </c>
      <c r="D48" s="23" t="n">
        <v>1</v>
      </c>
      <c r="E48" s="23" t="n">
        <v>110000000</v>
      </c>
      <c r="F48" s="24">
        <f>IF(OR(D48="",E48=""),"",ROUND(D48*E48,0))</f>
        <v/>
      </c>
      <c r="G48" s="25" t="inlineStr"/>
    </row>
    <row r="49" ht="19" customHeight="1">
      <c r="A49" s="26" t="n">
        <v>24</v>
      </c>
      <c r="B49" s="27" t="inlineStr">
        <is>
          <t>Đấu nối dây cụm máy làm lạnh nước (chiller)</t>
        </is>
      </c>
      <c r="C49" s="26" t="inlineStr">
        <is>
          <t>Máy</t>
        </is>
      </c>
      <c r="D49" s="28" t="n">
        <v>3</v>
      </c>
      <c r="E49" s="28" t="n">
        <v>22000000</v>
      </c>
      <c r="F49" s="29">
        <f>IF(OR(D49="",E49=""),"",ROUND(D49*E49,0))</f>
        <v/>
      </c>
      <c r="G49" s="30" t="inlineStr"/>
    </row>
    <row r="50" ht="20" customHeight="1">
      <c r="A50" s="32" t="inlineStr">
        <is>
          <t>Cộng tiền hàng (chưa VAT)</t>
        </is>
      </c>
      <c r="B50" s="32" t="n"/>
      <c r="C50" s="32" t="n"/>
      <c r="D50" s="32" t="n"/>
      <c r="E50" s="32" t="n"/>
      <c r="F50" s="33">
        <f>SUM(F22:F49)</f>
        <v/>
      </c>
      <c r="G50" s="34" t="n"/>
    </row>
    <row r="51" ht="20" customHeight="1">
      <c r="A51" s="35" t="inlineStr">
        <is>
          <t>Thuế GTGT (VAT)</t>
        </is>
      </c>
      <c r="B51" s="35" t="n"/>
      <c r="C51" s="35" t="n"/>
      <c r="D51" s="35" t="n"/>
      <c r="E51" s="36" t="n">
        <v>0.1</v>
      </c>
      <c r="F51" s="37">
        <f>ROUND(F50*E51,0)</f>
        <v/>
      </c>
    </row>
    <row r="52" ht="24" customHeight="1">
      <c r="A52" s="38" t="inlineStr">
        <is>
          <t>TỔNG CỘNG THANH TOÁN</t>
        </is>
      </c>
      <c r="B52" s="38" t="n"/>
      <c r="C52" s="38" t="n"/>
      <c r="D52" s="38" t="n"/>
      <c r="E52" s="38" t="n"/>
      <c r="F52" s="39">
        <f>F50+F51</f>
        <v/>
      </c>
      <c r="G52" s="40" t="n"/>
    </row>
    <row r="53" ht="22" customHeight="1">
      <c r="A53" s="41" t="inlineStr">
        <is>
          <t>Bằng chữ: Ba tỷ ba trăm bảy mươi chín triệu sáu trăm chín mươi ba nghìn ba trăm năm mươi đồng.</t>
        </is>
      </c>
      <c r="B53" s="41" t="n"/>
      <c r="C53" s="41" t="n"/>
      <c r="D53" s="41" t="n"/>
      <c r="E53" s="41" t="n"/>
      <c r="F53" s="41" t="n"/>
      <c r="G53" s="41" t="n"/>
    </row>
    <row r="54" ht="12" customHeight="1"/>
    <row r="55" ht="20" customHeight="1">
      <c r="A55" s="42" t="inlineStr">
        <is>
          <t>ĐIỀU KHOẢN THƯƠNG MẠI</t>
        </is>
      </c>
      <c r="B55" s="42" t="n"/>
      <c r="C55" s="42" t="n"/>
      <c r="D55" s="42" t="n"/>
      <c r="E55" s="42" t="n"/>
      <c r="F55" s="42" t="n"/>
      <c r="G55" s="42" t="n"/>
    </row>
    <row r="56" ht="30" customHeight="1">
      <c r="A56" s="43" t="inlineStr">
        <is>
          <t>1. Đơn giá trên đã bao gồm vật tư và nhân công lắp đặt, chưa bao gồm thuế GTGT. Khối lượng quyết toán theo thực tế thi công. Toàn bộ cáp điện là cáp lõi đồng.</t>
        </is>
      </c>
      <c r="B56" s="43" t="n"/>
      <c r="C56" s="43" t="n"/>
      <c r="D56" s="43" t="n"/>
      <c r="E56" s="43" t="n"/>
      <c r="F56" s="43" t="n"/>
      <c r="G56" s="43" t="n"/>
    </row>
    <row r="57" ht="17.5" customHeight="1">
      <c r="A57" s="43" t="inlineStr">
        <is>
          <t>2. Hiệu lực báo giá: 30 ngày kể từ ngày báo giá.</t>
        </is>
      </c>
      <c r="B57" s="43" t="n"/>
      <c r="C57" s="43" t="n"/>
      <c r="D57" s="43" t="n"/>
      <c r="E57" s="43" t="n"/>
      <c r="F57" s="43" t="n"/>
      <c r="G57" s="43" t="n"/>
    </row>
    <row r="58" ht="17.5" customHeight="1">
      <c r="A58" s="43" t="inlineStr">
        <is>
          <t>3. Thời gian giao hàng: theo tiến độ thi công thống nhất giữa hai bên.</t>
        </is>
      </c>
      <c r="B58" s="43" t="n"/>
      <c r="C58" s="43" t="n"/>
      <c r="D58" s="43" t="n"/>
      <c r="E58" s="43" t="n"/>
      <c r="F58" s="43" t="n"/>
      <c r="G58" s="43" t="n"/>
    </row>
    <row r="59" ht="17.5" customHeight="1">
      <c r="A59" s="43" t="inlineStr">
        <is>
          <t>4. Địa điểm giao hàng: tại công trình MEGA.</t>
        </is>
      </c>
      <c r="B59" s="43" t="n"/>
      <c r="C59" s="43" t="n"/>
      <c r="D59" s="43" t="n"/>
      <c r="E59" s="43" t="n"/>
      <c r="F59" s="43" t="n"/>
      <c r="G59" s="43" t="n"/>
    </row>
    <row r="60" ht="17.5" customHeight="1">
      <c r="A60" s="43" t="inlineStr">
        <is>
          <t>5. Thanh toán: chuyển khoản, theo tiến độ thỏa thuận trong hợp đồng.</t>
        </is>
      </c>
      <c r="B60" s="43" t="n"/>
      <c r="C60" s="43" t="n"/>
      <c r="D60" s="43" t="n"/>
      <c r="E60" s="43" t="n"/>
      <c r="F60" s="43" t="n"/>
      <c r="G60" s="43" t="n"/>
    </row>
    <row r="61" ht="30" customHeight="1">
      <c r="A61" s="43" t="inlineStr">
        <is>
          <t>6. Thông tin chuyển khoản: Số TK 1066217478 – Ngân hàng TMCP Ngoại thương Việt Nam (Vietcombank) – Chủ tài khoản: CT TNHH KY THUAT CONG TRINH BLT.</t>
        </is>
      </c>
      <c r="B61" s="43" t="n"/>
      <c r="C61" s="43" t="n"/>
      <c r="D61" s="43" t="n"/>
      <c r="E61" s="43" t="n"/>
      <c r="F61" s="43" t="n"/>
      <c r="G61" s="43" t="n"/>
    </row>
    <row r="62" ht="6" customHeight="1"/>
    <row r="63" ht="18" customHeight="1">
      <c r="A63" s="17" t="inlineStr">
        <is>
          <t>Rất mong nhận được sự hợp tác của Quý khách. Trân trọng!</t>
        </is>
      </c>
      <c r="B63" s="17" t="n"/>
      <c r="C63" s="17" t="n"/>
      <c r="D63" s="17" t="n"/>
      <c r="E63" s="17" t="n"/>
      <c r="F63" s="17" t="n"/>
      <c r="G63" s="17" t="n"/>
    </row>
    <row r="64" ht="12" customHeight="1"/>
    <row r="65" ht="18" customHeight="1">
      <c r="A65" s="44" t="inlineStr">
        <is>
          <t>XÁC NHẬN CỦA KHÁCH HÀNG</t>
        </is>
      </c>
      <c r="B65" s="44" t="n"/>
      <c r="C65" s="44" t="n"/>
      <c r="E65" s="44" t="inlineStr">
        <is>
          <t>GIÁM ĐỐC</t>
        </is>
      </c>
      <c r="F65" s="44" t="n"/>
      <c r="G65" s="44" t="n"/>
    </row>
    <row r="66" ht="15" customHeight="1">
      <c r="A66" s="45" t="inlineStr">
        <is>
          <t>(Ký, ghi rõ họ tên)</t>
        </is>
      </c>
      <c r="B66" s="45" t="n"/>
      <c r="C66" s="45" t="n"/>
      <c r="E66" s="45" t="inlineStr">
        <is>
          <t>(Ký, đóng dấu, ghi rõ họ tên)</t>
        </is>
      </c>
      <c r="F66" s="45" t="n"/>
      <c r="G66" s="45" t="n"/>
    </row>
    <row r="67" ht="16" customHeight="1"/>
    <row r="68" ht="16" customHeight="1"/>
    <row r="69" ht="16" customHeight="1"/>
    <row r="70" ht="16" customHeight="1"/>
    <row r="71" ht="20" customHeight="1">
      <c r="E71" s="46" t="inlineStr">
        <is>
          <t>HỒ VĂN BÌNH</t>
        </is>
      </c>
      <c r="F71" s="46" t="n"/>
      <c r="G71" s="46" t="n"/>
    </row>
  </sheetData>
  <mergeCells count="39">
    <mergeCell ref="B2:G2"/>
    <mergeCell ref="A66:C66"/>
    <mergeCell ref="E13:G13"/>
    <mergeCell ref="A17:G17"/>
    <mergeCell ref="A8:G8"/>
    <mergeCell ref="A53:G53"/>
    <mergeCell ref="B1:G1"/>
    <mergeCell ref="E65:G65"/>
    <mergeCell ref="A12:C12"/>
    <mergeCell ref="A19:G19"/>
    <mergeCell ref="E15:G15"/>
    <mergeCell ref="A63:G63"/>
    <mergeCell ref="A58:G58"/>
    <mergeCell ref="A9:G9"/>
    <mergeCell ref="E11:G11"/>
    <mergeCell ref="A14:C14"/>
    <mergeCell ref="A59:G59"/>
    <mergeCell ref="A51:D51"/>
    <mergeCell ref="A60:G60"/>
    <mergeCell ref="A50:E50"/>
    <mergeCell ref="A13:C13"/>
    <mergeCell ref="A61:G61"/>
    <mergeCell ref="E66:G66"/>
    <mergeCell ref="B4:G4"/>
    <mergeCell ref="E12:G12"/>
    <mergeCell ref="A15:C15"/>
    <mergeCell ref="E71:G71"/>
    <mergeCell ref="B3:G3"/>
    <mergeCell ref="B47:G47"/>
    <mergeCell ref="A11:C11"/>
    <mergeCell ref="E14:G14"/>
    <mergeCell ref="B22:G22"/>
    <mergeCell ref="A56:G56"/>
    <mergeCell ref="A52:E52"/>
    <mergeCell ref="B31:G31"/>
    <mergeCell ref="A55:G55"/>
    <mergeCell ref="A57:G57"/>
    <mergeCell ref="A65:C65"/>
    <mergeCell ref="B39:G39"/>
  </mergeCells>
  <printOptions horizontalCentered="1"/>
  <pageMargins left="0.4" right="0.4" top="0.45" bottom="0.6" header="0.5" footer="0.25"/>
  <pageSetup orientation="portrait" paperSize="9" fitToHeight="0" fitToWidth="1"/>
  <headerFooter>
    <oddHeader/>
    <oddFooter>&amp;C&amp;"Arial,Regular"&amp;8 &amp;K7F7F7FCÔNG TY TNHH KỸ THUẬT CÔNG TRÌNH BLT  •  0984 586 089  •  Trang &amp;P/&amp;N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2026-10-10T09:01:53Z</dcterms:created>
  <dcterms:modified xmlns:dcterms="http://purl.org/dc/terms/" xmlns:xsi="http://www.w3.org/2001/XMLSchema-instance" xsi:type="dcterms:W3CDTF">2026-10-10T09:01:53Z</dcterms:modified>
</cp:coreProperties>
</file>
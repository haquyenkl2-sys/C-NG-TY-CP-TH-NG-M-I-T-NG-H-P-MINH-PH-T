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giá" sheetId="1" state="visible" r:id="rId1"/>
  </sheets>
  <definedNames>
    <definedName name="_xlnm.Print_Titles" localSheetId="0">'Báo giá'!$22:$22</definedName>
    <definedName name="_xlnm.Print_Area" localSheetId="0">'Báo giá'!$A$1:$G$47</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D2B66"/>
      <sz val="16"/>
    </font>
    <font>
      <name val="Arial"/>
      <color rgb="00404040"/>
      <sz val="9"/>
    </font>
    <font>
      <name val="Arial"/>
      <b val="1"/>
      <color rgb="000D2B66"/>
      <sz val="22"/>
    </font>
    <font>
      <name val="Arial"/>
      <b val="1"/>
      <color rgb="007F7F7F"/>
      <sz val="11"/>
    </font>
    <font>
      <name val="Arial"/>
      <b val="1"/>
      <color rgb="00FFFFFF"/>
      <sz val="9.5"/>
    </font>
    <font>
      <name val="Arial"/>
      <i val="1"/>
      <color rgb="00262626"/>
      <sz val="10"/>
    </font>
    <font>
      <name val="Arial"/>
      <color rgb="00000000"/>
      <sz val="9.5"/>
    </font>
    <font>
      <name val="Arial"/>
      <b val="1"/>
      <color rgb="00000000"/>
      <sz val="9.5"/>
    </font>
    <font>
      <name val="Arial"/>
      <color rgb="00404040"/>
      <sz val="8.5"/>
    </font>
    <font>
      <name val="Arial"/>
      <b val="1"/>
      <color rgb="00000000"/>
      <sz val="10"/>
    </font>
    <font>
      <name val="Arial"/>
      <b val="1"/>
      <color rgb="00FFFFFF"/>
      <sz val="11.5"/>
    </font>
    <font>
      <name val="Arial"/>
      <b val="1"/>
      <i val="1"/>
      <color rgb="000D2B66"/>
      <sz val="10"/>
    </font>
    <font>
      <name val="Arial"/>
      <b val="1"/>
      <color rgb="000D2B66"/>
      <sz val="10.5"/>
    </font>
    <font>
      <name val="Arial"/>
      <color rgb="00262626"/>
      <sz val="9.5"/>
    </font>
    <font>
      <name val="Arial"/>
      <i val="1"/>
      <color rgb="00595959"/>
      <sz val="8.5"/>
    </font>
    <font>
      <name val="Arial"/>
      <b val="1"/>
      <color rgb="00000000"/>
      <sz val="11"/>
    </font>
  </fonts>
  <fills count="6">
    <fill>
      <patternFill/>
    </fill>
    <fill>
      <patternFill patternType="gray125"/>
    </fill>
    <fill>
      <patternFill patternType="solid">
        <fgColor rgb="000D2B66"/>
      </patternFill>
    </fill>
    <fill>
      <patternFill patternType="solid">
        <fgColor rgb="00F7F9FC"/>
      </patternFill>
    </fill>
    <fill>
      <patternFill patternType="solid">
        <fgColor rgb="00EEF2F8"/>
      </patternFill>
    </fill>
    <fill>
      <patternFill patternType="solid">
        <fgColor rgb="00FFFFFF"/>
      </patternFill>
    </fill>
  </fills>
  <borders count="16">
    <border>
      <left/>
      <right/>
      <top/>
      <bottom/>
      <diagonal/>
    </border>
    <border>
      <bottom style="medium">
        <color rgb="000D2B66"/>
      </bottom>
    </border>
    <border>
      <bottom style="thin">
        <color rgb="00F7931E"/>
      </bottom>
    </border>
    <border>
      <left style="thin">
        <color rgb="00C9D1DC"/>
      </left>
      <top style="thin">
        <color rgb="00C9D1DC"/>
      </top>
    </border>
    <border>
      <top style="thin">
        <color rgb="00C9D1DC"/>
      </top>
    </border>
    <border>
      <right style="thin">
        <color rgb="00C9D1DC"/>
      </right>
      <top style="thin">
        <color rgb="00C9D1DC"/>
      </top>
    </border>
    <border>
      <left style="thin">
        <color rgb="00C9D1DC"/>
      </left>
    </border>
    <border/>
    <border>
      <right style="thin">
        <color rgb="00C9D1DC"/>
      </right>
    </border>
    <border>
      <left style="thin">
        <color rgb="00C9D1DC"/>
      </left>
      <bottom style="thin">
        <color rgb="00C9D1DC"/>
      </bottom>
    </border>
    <border>
      <bottom style="thin">
        <color rgb="00C9D1DC"/>
      </bottom>
    </border>
    <border>
      <right style="thin">
        <color rgb="00C9D1DC"/>
      </right>
      <bottom style="thin">
        <color rgb="00C9D1DC"/>
      </bottom>
    </border>
    <border>
      <left style="thick">
        <color rgb="00F7931E"/>
      </left>
    </border>
    <border>
      <left style="thin">
        <color rgb="00FFFFFF"/>
      </left>
      <right style="thin">
        <color rgb="00FFFFFF"/>
      </right>
    </border>
    <border>
      <left style="thin">
        <color rgb="00C9D1DC"/>
      </left>
      <right style="thin">
        <color rgb="00C9D1DC"/>
      </right>
      <top style="thin">
        <color rgb="00C9D1DC"/>
      </top>
      <bottom style="thin">
        <color rgb="00C9D1DC"/>
      </bottom>
    </border>
    <border>
      <top style="medium">
        <color rgb="000D2B66"/>
      </top>
    </border>
  </borders>
  <cellStyleXfs count="1">
    <xf numFmtId="0" fontId="0" fillId="0" borderId="0"/>
  </cellStyleXfs>
  <cellXfs count="41">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0" fillId="0" borderId="1" pivotButton="0" quotePrefix="0" xfId="0"/>
    <xf numFmtId="0" fontId="0" fillId="0" borderId="2"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3" applyAlignment="1" pivotButton="0" quotePrefix="0" xfId="0">
      <alignment horizontal="left" vertical="center" wrapText="1" indent="1"/>
    </xf>
    <xf numFmtId="0" fontId="5" fillId="2" borderId="4" applyAlignment="1" pivotButton="0" quotePrefix="0" xfId="0">
      <alignment horizontal="left" vertical="center" wrapText="1" indent="1"/>
    </xf>
    <xf numFmtId="0" fontId="5" fillId="2" borderId="5" applyAlignment="1" pivotButton="0" quotePrefix="0" xfId="0">
      <alignment horizontal="left" vertical="center" wrapText="1" indent="1"/>
    </xf>
    <xf numFmtId="0" fontId="0" fillId="3" borderId="6" applyAlignment="1" pivotButton="0" quotePrefix="0" xfId="0">
      <alignment horizontal="left" vertical="center" wrapText="1" indent="1"/>
    </xf>
    <xf numFmtId="0" fontId="0" fillId="3" borderId="7" applyAlignment="1" pivotButton="0" quotePrefix="0" xfId="0">
      <alignment horizontal="left" vertical="center" wrapText="1" indent="1"/>
    </xf>
    <xf numFmtId="0" fontId="0" fillId="3" borderId="8" applyAlignment="1" pivotButton="0" quotePrefix="0" xfId="0">
      <alignment horizontal="left" vertical="center" wrapText="1" indent="1"/>
    </xf>
    <xf numFmtId="0" fontId="0" fillId="3" borderId="9" applyAlignment="1" pivotButton="0" quotePrefix="0" xfId="0">
      <alignment horizontal="left" vertical="center" wrapText="1" indent="1"/>
    </xf>
    <xf numFmtId="0" fontId="0" fillId="3" borderId="10" applyAlignment="1" pivotButton="0" quotePrefix="0" xfId="0">
      <alignment horizontal="left" vertical="center" wrapText="1" indent="1"/>
    </xf>
    <xf numFmtId="0" fontId="0" fillId="3" borderId="11" applyAlignment="1" pivotButton="0" quotePrefix="0" xfId="0">
      <alignment horizontal="left" vertical="center" wrapText="1" indent="1"/>
    </xf>
    <xf numFmtId="0" fontId="0" fillId="4" borderId="12" applyAlignment="1" pivotButton="0" quotePrefix="0" xfId="0">
      <alignment horizontal="left" vertical="center" wrapText="1" indent="1"/>
    </xf>
    <xf numFmtId="0" fontId="6" fillId="0" borderId="0" applyAlignment="1" pivotButton="0" quotePrefix="0" xfId="0">
      <alignment horizontal="left" vertical="center" wrapText="1"/>
    </xf>
    <xf numFmtId="0" fontId="5" fillId="2" borderId="13" applyAlignment="1" pivotButton="0" quotePrefix="0" xfId="0">
      <alignment horizontal="center" vertical="center" wrapText="1"/>
    </xf>
    <xf numFmtId="0" fontId="7" fillId="5" borderId="14" applyAlignment="1" pivotButton="0" quotePrefix="0" xfId="0">
      <alignment horizontal="center" vertical="center" wrapText="1"/>
    </xf>
    <xf numFmtId="0" fontId="7" fillId="5" borderId="14" applyAlignment="1" pivotButton="0" quotePrefix="0" xfId="0">
      <alignment horizontal="left" vertical="center" wrapText="1"/>
    </xf>
    <xf numFmtId="3" fontId="7" fillId="5" borderId="14" applyAlignment="1" pivotButton="0" quotePrefix="0" xfId="0">
      <alignment horizontal="right" vertical="center" wrapText="1"/>
    </xf>
    <xf numFmtId="3" fontId="8" fillId="5" borderId="14" applyAlignment="1" pivotButton="0" quotePrefix="0" xfId="0">
      <alignment horizontal="right" vertical="center" wrapText="1"/>
    </xf>
    <xf numFmtId="0" fontId="9" fillId="5" borderId="14" applyAlignment="1" pivotButton="0" quotePrefix="0" xfId="0">
      <alignment horizontal="left" vertical="center" wrapText="1"/>
    </xf>
    <xf numFmtId="0" fontId="7" fillId="3" borderId="14" applyAlignment="1" pivotButton="0" quotePrefix="0" xfId="0">
      <alignment horizontal="center" vertical="center" wrapText="1"/>
    </xf>
    <xf numFmtId="0" fontId="7" fillId="3" borderId="14" applyAlignment="1" pivotButton="0" quotePrefix="0" xfId="0">
      <alignment horizontal="left" vertical="center" wrapText="1"/>
    </xf>
    <xf numFmtId="3" fontId="7" fillId="3" borderId="14" applyAlignment="1" pivotButton="0" quotePrefix="0" xfId="0">
      <alignment horizontal="right" vertical="center" wrapText="1"/>
    </xf>
    <xf numFmtId="3" fontId="8" fillId="3" borderId="14" applyAlignment="1" pivotButton="0" quotePrefix="0" xfId="0">
      <alignment horizontal="right" vertical="center" wrapText="1"/>
    </xf>
    <xf numFmtId="0" fontId="9" fillId="3" borderId="14" applyAlignment="1" pivotButton="0" quotePrefix="0" xfId="0">
      <alignment horizontal="left" vertical="center" wrapText="1"/>
    </xf>
    <xf numFmtId="0" fontId="10" fillId="0" borderId="15" applyAlignment="1" pivotButton="0" quotePrefix="0" xfId="0">
      <alignment horizontal="right" vertical="center" wrapText="1"/>
    </xf>
    <xf numFmtId="3" fontId="10" fillId="0" borderId="15" applyAlignment="1" pivotButton="0" quotePrefix="0" xfId="0">
      <alignment horizontal="right" vertical="center" wrapText="1"/>
    </xf>
    <xf numFmtId="0" fontId="0" fillId="0" borderId="15" applyAlignment="1" pivotButton="0" quotePrefix="0" xfId="0">
      <alignment horizontal="left" vertical="center" wrapText="1"/>
    </xf>
    <xf numFmtId="0" fontId="11" fillId="2" borderId="0" applyAlignment="1" pivotButton="0" quotePrefix="0" xfId="0">
      <alignment horizontal="right" vertical="center" wrapText="1"/>
    </xf>
    <xf numFmtId="3" fontId="11" fillId="2" borderId="0" applyAlignment="1" pivotButton="0" quotePrefix="0" xfId="0">
      <alignment horizontal="right" vertical="center" wrapText="1"/>
    </xf>
    <xf numFmtId="0" fontId="0" fillId="2" borderId="0" applyAlignment="1" pivotButton="0" quotePrefix="0" xfId="0">
      <alignment horizontal="left" vertical="center" wrapText="1"/>
    </xf>
    <xf numFmtId="0" fontId="12" fillId="4" borderId="2" applyAlignment="1" pivotButton="0" quotePrefix="0" xfId="0">
      <alignment horizontal="left" vertical="center" wrapText="1" indent="1"/>
    </xf>
    <xf numFmtId="0" fontId="13" fillId="0" borderId="2" applyAlignment="1" pivotButton="0" quotePrefix="0" xfId="0">
      <alignment horizontal="left" vertical="center"/>
    </xf>
    <xf numFmtId="0" fontId="14" fillId="0" borderId="0" applyAlignment="1" pivotButton="0" quotePrefix="0" xfId="0">
      <alignment horizontal="left" vertical="top" wrapText="1"/>
    </xf>
    <xf numFmtId="0" fontId="13"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19050</colOff>
      <row>0</row>
      <rowOff>28575</rowOff>
    </from>
    <ext cx="876300" cy="87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7"/>
  <sheetViews>
    <sheetView showGridLines="0" workbookViewId="0">
      <selection activeCell="A1" sqref="A1"/>
    </sheetView>
  </sheetViews>
  <sheetFormatPr baseColWidth="8" defaultRowHeight="15"/>
  <cols>
    <col width="5.5" customWidth="1" min="1" max="1"/>
    <col width="38.5" customWidth="1" min="2" max="2"/>
    <col width="9.5" customWidth="1" min="3" max="3"/>
    <col width="9" customWidth="1" min="4" max="4"/>
    <col width="14.5" customWidth="1" min="5" max="5"/>
    <col width="16.5" customWidth="1" min="6" max="6"/>
    <col width="14" customWidth="1" min="7" max="7"/>
  </cols>
  <sheetData>
    <row r="1" ht="28" customHeight="1">
      <c r="B1" s="1" t="inlineStr">
        <is>
          <t>CÔNG TY TNHH KỸ THUẬT CÔNG TRÌNH BLT</t>
        </is>
      </c>
      <c r="C1" s="1" t="n"/>
      <c r="D1" s="1" t="n"/>
      <c r="E1" s="1" t="n"/>
      <c r="F1" s="1" t="n"/>
      <c r="G1" s="1" t="n"/>
    </row>
    <row r="2" ht="15" customHeight="1">
      <c r="B2" s="2" t="inlineStr">
        <is>
          <t>Địa chỉ / 地址: Số 2A đường Nguyễn Khánh Toàn, khối Trường Phúc, phường Trường Vinh, tỉnh Nghệ An, Việt Nam</t>
        </is>
      </c>
      <c r="C2" s="2" t="n"/>
      <c r="D2" s="2" t="n"/>
      <c r="E2" s="2" t="n"/>
      <c r="F2" s="2" t="n"/>
      <c r="G2" s="2" t="n"/>
    </row>
    <row r="3" ht="15" customHeight="1">
      <c r="B3" s="2" t="inlineStr">
        <is>
          <t>MST / 税号: 2902269718   |   Điện thoại / 电话: 0984 586 089</t>
        </is>
      </c>
      <c r="C3" s="2" t="n"/>
      <c r="D3" s="2" t="n"/>
      <c r="E3" s="2" t="n"/>
      <c r="F3" s="2" t="n"/>
      <c r="G3" s="2" t="n"/>
    </row>
    <row r="4" ht="15" customHeight="1">
      <c r="B4" s="2" t="inlineStr">
        <is>
          <t>Email / 邮箱: hobinh150589@gmail.com</t>
        </is>
      </c>
      <c r="C4" s="2" t="n"/>
      <c r="D4" s="2" t="n"/>
      <c r="E4" s="2" t="n"/>
      <c r="F4" s="2" t="n"/>
      <c r="G4" s="2" t="n"/>
    </row>
    <row r="5" ht="10" customHeight="1">
      <c r="A5" s="3" t="n"/>
      <c r="B5" s="3" t="n"/>
      <c r="C5" s="3" t="n"/>
      <c r="D5" s="3" t="n"/>
      <c r="E5" s="3" t="n"/>
      <c r="F5" s="3" t="n"/>
      <c r="G5" s="3" t="n"/>
    </row>
    <row r="6" ht="4" customHeight="1">
      <c r="A6" s="4" t="n"/>
      <c r="B6" s="4" t="n"/>
      <c r="C6" s="4" t="n"/>
      <c r="D6" s="4" t="n"/>
      <c r="E6" s="4" t="n"/>
      <c r="F6" s="4" t="n"/>
      <c r="G6" s="4" t="n"/>
    </row>
    <row r="7" ht="10" customHeight="1"/>
    <row r="8" ht="34" customHeight="1">
      <c r="A8" s="5" t="inlineStr">
        <is>
          <t>BẢNG BÁO GIÁ</t>
        </is>
      </c>
      <c r="B8" s="5" t="n"/>
      <c r="C8" s="5" t="n"/>
      <c r="D8" s="5" t="n"/>
      <c r="E8" s="5" t="n"/>
      <c r="F8" s="5" t="n"/>
      <c r="G8" s="5" t="n"/>
    </row>
    <row r="9" ht="16" customHeight="1">
      <c r="A9" s="6" t="inlineStr">
        <is>
          <t>报价单</t>
        </is>
      </c>
      <c r="B9" s="6" t="n"/>
      <c r="C9" s="6" t="n"/>
      <c r="D9" s="6" t="n"/>
      <c r="E9" s="6" t="n"/>
      <c r="F9" s="6" t="n"/>
      <c r="G9" s="6" t="n"/>
    </row>
    <row r="10" ht="10" customHeight="1"/>
    <row r="11" ht="20" customHeight="1">
      <c r="A11" s="7" t="inlineStr">
        <is>
          <t>THÔNG TIN KHÁCH HÀNG / 客户信息</t>
        </is>
      </c>
      <c r="B11" s="8" t="n"/>
      <c r="C11" s="9" t="n"/>
      <c r="E11" s="7" t="inlineStr">
        <is>
          <t>THÔNG TIN BÁO GIÁ / 报价信息</t>
        </is>
      </c>
      <c r="F11" s="8" t="n"/>
      <c r="G11" s="9" t="n"/>
    </row>
    <row r="12" ht="30" customHeight="1">
      <c r="A12" s="10" t="inlineStr">
        <is>
          <r>
            <rPr>
              <rFont val="Arial"/>
              <color rgb="00595959"/>
              <sz val="9.5"/>
            </rPr>
            <t xml:space="preserve">Kính gửi / 致: </t>
          </r>
          <r>
            <rPr>
              <rFont val="Arial"/>
              <b val="1"/>
              <color rgb="00000000"/>
              <sz val="9.5"/>
            </rPr>
            <t>CÔNG TY TNHH CÔNG NGHỆ NĂNG LƯỢNG XANH THỊNH THẾ (VIỆT NAM)</t>
          </r>
        </is>
      </c>
      <c r="B12" s="11" t="n"/>
      <c r="C12" s="12" t="n"/>
      <c r="E12" s="10" t="inlineStr">
        <is>
          <r>
            <rPr>
              <rFont val="Arial"/>
              <color rgb="00595959"/>
              <sz val="9.5"/>
            </rPr>
            <t xml:space="preserve">Số báo giá / 报价编号: </t>
          </r>
          <r>
            <rPr>
              <rFont val="Arial"/>
              <b val="1"/>
              <color rgb="00000000"/>
              <sz val="9.5"/>
            </rPr>
            <t>BG-2026/003</t>
          </r>
        </is>
      </c>
      <c r="F12" s="11" t="n"/>
      <c r="G12" s="12" t="n"/>
    </row>
    <row r="13" ht="17.5" customHeight="1">
      <c r="A13" s="10" t="inlineStr">
        <is>
          <r>
            <rPr>
              <rFont val="Arial"/>
              <color rgb="00595959"/>
              <sz val="9.5"/>
            </rPr>
            <t xml:space="preserve">MST / 税号: </t>
          </r>
          <r>
            <rPr>
              <rFont val="Arial"/>
              <color rgb="00000000"/>
              <sz val="9.5"/>
            </rPr>
            <t>2301281622</t>
          </r>
        </is>
      </c>
      <c r="B13" s="11" t="n"/>
      <c r="C13" s="12" t="n"/>
      <c r="E13" s="10" t="inlineStr">
        <is>
          <r>
            <rPr>
              <rFont val="Arial"/>
              <color rgb="00595959"/>
              <sz val="9.5"/>
            </rPr>
            <t xml:space="preserve">Ngày báo giá / 报价日期: </t>
          </r>
          <r>
            <rPr>
              <rFont val="Arial"/>
              <color rgb="00000000"/>
              <sz val="9.5"/>
            </rPr>
            <t>30/10/2026</t>
          </r>
        </is>
      </c>
      <c r="F13" s="11" t="n"/>
      <c r="G13" s="12" t="n"/>
    </row>
    <row r="14" ht="17.5" customHeight="1">
      <c r="A14" s="10" t="inlineStr">
        <is>
          <r>
            <rPr>
              <rFont val="Arial"/>
              <color rgb="00595959"/>
              <sz val="9.5"/>
            </rPr>
            <t xml:space="preserve">Người liên hệ / 联系人: </t>
          </r>
          <r>
            <rPr>
              <rFont val="Arial"/>
              <color rgb="00000000"/>
              <sz val="9.5"/>
            </rPr>
            <t>Ông ZHOU, XUBIAO – Giám đốc</t>
          </r>
        </is>
      </c>
      <c r="B14" s="11" t="n"/>
      <c r="C14" s="12" t="n"/>
      <c r="E14" s="10" t="inlineStr">
        <is>
          <r>
            <rPr>
              <rFont val="Arial"/>
              <color rgb="00595959"/>
              <sz val="9.5"/>
            </rPr>
            <t xml:space="preserve">Hiệu lực / 有效期: </t>
          </r>
          <r>
            <rPr>
              <rFont val="Arial"/>
              <color rgb="00000000"/>
              <sz val="9.5"/>
            </rPr>
            <t>30 ngày / 30天</t>
          </r>
        </is>
      </c>
      <c r="F14" s="11" t="n"/>
      <c r="G14" s="12" t="n"/>
    </row>
    <row r="15" ht="30" customHeight="1">
      <c r="A15" s="10" t="inlineStr">
        <is>
          <r>
            <rPr>
              <rFont val="Arial"/>
              <color rgb="00595959"/>
              <sz val="9.5"/>
            </rPr>
            <t xml:space="preserve">Điện thoại / 电话: </t>
          </r>
          <r>
            <rPr>
              <rFont val="Arial"/>
              <color rgb="00000000"/>
              <sz val="9.5"/>
            </rPr>
            <t>086 8479 518</t>
          </r>
        </is>
      </c>
      <c r="B15" s="11" t="n"/>
      <c r="C15" s="12" t="n"/>
      <c r="E15" s="10" t="inlineStr">
        <is>
          <r>
            <rPr>
              <rFont val="Arial"/>
              <color rgb="00595959"/>
              <sz val="9.5"/>
            </rPr>
            <t xml:space="preserve">Người phụ trách / 负责人: </t>
          </r>
          <r>
            <rPr>
              <rFont val="Arial"/>
              <color rgb="00000000"/>
              <sz val="9.5"/>
            </rPr>
            <t>HỒ VĂN BÌNH – 0984 586 089</t>
          </r>
        </is>
      </c>
      <c r="F15" s="11" t="n"/>
      <c r="G15" s="12" t="n"/>
    </row>
    <row r="16" ht="30" customHeight="1">
      <c r="A16" s="13" t="inlineStr">
        <is>
          <r>
            <rPr>
              <rFont val="Arial"/>
              <color rgb="00595959"/>
              <sz val="9.5"/>
            </rPr>
            <t xml:space="preserve">Địa chỉ / 地址: </t>
          </r>
          <r>
            <rPr>
              <rFont val="Arial"/>
              <color rgb="00000000"/>
              <sz val="9.5"/>
            </rPr>
            <t>Cụm 4, Khu Bồ Sơn, Phường Võ Cường, Tỉnh Bắc Ninh, Việt Nam</t>
          </r>
        </is>
      </c>
      <c r="B16" s="14" t="n"/>
      <c r="C16" s="15" t="n"/>
      <c r="E16" s="13" t="n"/>
      <c r="F16" s="14" t="n"/>
      <c r="G16" s="15" t="n"/>
    </row>
    <row r="17" ht="10" customHeight="1"/>
    <row r="18" ht="34" customHeight="1">
      <c r="A18" s="16" t="inlineStr">
        <is>
          <r>
            <rPr>
              <rFont val="Arial"/>
              <b val="1"/>
              <color rgb="000D2B66"/>
              <sz val="9.5"/>
            </rPr>
            <t xml:space="preserve">CÔNG TRÌNH / 工程:  </t>
          </r>
          <r>
            <rPr>
              <rFont val="Arial"/>
              <b val="1"/>
              <color rgb="00000000"/>
              <sz val="9.5"/>
            </rPr>
            <t>Sửa đổi hệ thống phun sương đường ống D20 – Số 1, Đường Dân Chủ, KCN VSIP, Xã Hưng Nguyên, Tỉnh Nghệ An</t>
          </r>
          <r>
            <rPr>
              <rFont val="Arial"/>
              <color rgb="00000000"/>
              <sz val="9.5"/>
            </rPr>
            <t xml:space="preserve">
D20管道喷雾系统改造工程——越南义安省兴源社义安VSIP工业区民主路1号</t>
          </r>
        </is>
      </c>
      <c r="B18" s="16" t="n"/>
      <c r="C18" s="16" t="n"/>
      <c r="D18" s="16" t="n"/>
      <c r="E18" s="16" t="n"/>
      <c r="F18" s="16" t="n"/>
      <c r="G18" s="16" t="n"/>
    </row>
    <row r="19" ht="10" customHeight="1"/>
    <row r="20" ht="44" customHeight="1">
      <c r="A20" s="17" t="inlineStr">
        <is>
          <t>CÔNG TY TNHH KỸ THUẬT CÔNG TRÌNH BLT trân trọng cảm ơn Quý khách đã quan tâm. Chúng tôi xin gửi tới Quý khách bảng báo giá cho công trình nêu trên như sau:
我司衷心感谢贵方的关注，现将上述工程报价如下：</t>
        </is>
      </c>
      <c r="B20" s="17" t="n"/>
      <c r="C20" s="17" t="n"/>
      <c r="D20" s="17" t="n"/>
      <c r="E20" s="17" t="n"/>
      <c r="F20" s="17" t="n"/>
      <c r="G20" s="17" t="n"/>
    </row>
    <row r="21" ht="8" customHeight="1"/>
    <row r="22" ht="36" customHeight="1">
      <c r="A22" s="18" t="inlineStr">
        <is>
          <t>STT
序号</t>
        </is>
      </c>
      <c r="B22" s="18" t="inlineStr">
        <is>
          <t>Tên hàng hóa / Quy cách kỹ thuật
货物名称 / 技术规格</t>
        </is>
      </c>
      <c r="C22" s="18" t="inlineStr">
        <is>
          <t>ĐVT
单位</t>
        </is>
      </c>
      <c r="D22" s="18" t="inlineStr">
        <is>
          <t>Số lượng
数量</t>
        </is>
      </c>
      <c r="E22" s="18" t="inlineStr">
        <is>
          <t>Đơn giá (VNĐ)
单价(越南盾)</t>
        </is>
      </c>
      <c r="F22" s="18" t="inlineStr">
        <is>
          <t>Thành tiền (VNĐ)
金额(越南盾)</t>
        </is>
      </c>
      <c r="G22" s="18" t="inlineStr">
        <is>
          <t>Ghi chú
备注</t>
        </is>
      </c>
    </row>
    <row r="23" ht="30" customHeight="1">
      <c r="A23" s="19" t="n">
        <v>1</v>
      </c>
      <c r="B23" s="20" t="inlineStr">
        <is>
          <t>Sửa đổi đường ống dầu D20
D20油管改造</t>
        </is>
      </c>
      <c r="C23" s="19" t="inlineStr">
        <is>
          <t>Hạng mục
项</t>
        </is>
      </c>
      <c r="D23" s="21" t="n">
        <v>1</v>
      </c>
      <c r="E23" s="21" t="n">
        <v>24000000</v>
      </c>
      <c r="F23" s="22">
        <f>IF(OR(D23="",E23=""),"",ROUND(D23*E23,0))</f>
        <v/>
      </c>
      <c r="G23" s="23" t="inlineStr">
        <is>
          <t>Trọn gói
包干</t>
        </is>
      </c>
    </row>
    <row r="24" ht="30" customHeight="1">
      <c r="A24" s="24" t="n">
        <v>2</v>
      </c>
      <c r="B24" s="25" t="inlineStr">
        <is>
          <t>Bù keo đường ống
管道补胶</t>
        </is>
      </c>
      <c r="C24" s="24" t="inlineStr">
        <is>
          <t>Hạng mục
项</t>
        </is>
      </c>
      <c r="D24" s="26" t="n">
        <v>1</v>
      </c>
      <c r="E24" s="26" t="n">
        <v>4000000</v>
      </c>
      <c r="F24" s="27">
        <f>IF(OR(D24="",E24=""),"",ROUND(D24*E24,0))</f>
        <v/>
      </c>
      <c r="G24" s="28" t="inlineStr">
        <is>
          <t>Trọn gói
包干</t>
        </is>
      </c>
    </row>
    <row r="25" ht="30" customHeight="1">
      <c r="A25" s="19" t="n">
        <v>3</v>
      </c>
      <c r="B25" s="20" t="inlineStr">
        <is>
          <t>Sửa đổi vị trí thiết bị
设备位置调整</t>
        </is>
      </c>
      <c r="C25" s="19" t="inlineStr">
        <is>
          <t>Hạng mục
项</t>
        </is>
      </c>
      <c r="D25" s="21" t="n">
        <v>1</v>
      </c>
      <c r="E25" s="21" t="n">
        <v>4000000</v>
      </c>
      <c r="F25" s="22">
        <f>IF(OR(D25="",E25=""),"",ROUND(D25*E25,0))</f>
        <v/>
      </c>
      <c r="G25" s="23" t="inlineStr">
        <is>
          <t>Trọn gói
包干</t>
        </is>
      </c>
    </row>
    <row r="26" ht="20" customHeight="1">
      <c r="A26" s="29" t="inlineStr">
        <is>
          <t>Cộng tiền hàng (đã bao gồm thuế GTGT) / 货款合计（含增值税）</t>
        </is>
      </c>
      <c r="B26" s="29" t="n"/>
      <c r="C26" s="29" t="n"/>
      <c r="D26" s="29" t="n"/>
      <c r="E26" s="29" t="n"/>
      <c r="F26" s="30">
        <f>SUM(F23:F25)</f>
        <v/>
      </c>
      <c r="G26" s="31" t="n"/>
    </row>
    <row r="27" ht="24" customHeight="1">
      <c r="A27" s="32" t="inlineStr">
        <is>
          <t>TỔNG CỘNG THANH TOÁN / 付款总额</t>
        </is>
      </c>
      <c r="B27" s="32" t="n"/>
      <c r="C27" s="32" t="n"/>
      <c r="D27" s="32" t="n"/>
      <c r="E27" s="32" t="n"/>
      <c r="F27" s="33">
        <f>F26</f>
        <v/>
      </c>
      <c r="G27" s="34" t="n"/>
    </row>
    <row r="28" ht="34" customHeight="1">
      <c r="A28" s="35" t="inlineStr">
        <is>
          <t>Bằng chữ: Ba mươi hai triệu đồng chẵn.
大写金额：叁仟贰佰万越南盾整</t>
        </is>
      </c>
      <c r="B28" s="35" t="n"/>
      <c r="C28" s="35" t="n"/>
      <c r="D28" s="35" t="n"/>
      <c r="E28" s="35" t="n"/>
      <c r="F28" s="35" t="n"/>
      <c r="G28" s="35" t="n"/>
    </row>
    <row r="29" ht="12" customHeight="1"/>
    <row r="30" ht="20" customHeight="1">
      <c r="A30" s="36" t="inlineStr">
        <is>
          <t>ĐIỀU KHOẢN THƯƠNG MẠI / 商务条款</t>
        </is>
      </c>
      <c r="B30" s="36" t="n"/>
      <c r="C30" s="36" t="n"/>
      <c r="D30" s="36" t="n"/>
      <c r="E30" s="36" t="n"/>
      <c r="F30" s="36" t="n"/>
      <c r="G30" s="36" t="n"/>
    </row>
    <row r="31" ht="42.5" customHeight="1">
      <c r="A31" s="37" t="inlineStr">
        <is>
          <t>1. Giá trên là giá trọn gói cho toàn bộ công việc, đã bao gồm thuế GTGT. Công việc phát sinh ngoài phạm vi (nếu có) hai bên thỏa thuận bổ sung bằng văn bản.
    以上为第一条所列全部工作内容的包干价，已含增值税。超出范围的新增工作（如有）由双方另行签订书面补充协议。</t>
        </is>
      </c>
      <c r="B31" s="37" t="n"/>
      <c r="C31" s="37" t="n"/>
      <c r="D31" s="37" t="n"/>
      <c r="E31" s="37" t="n"/>
      <c r="F31" s="37" t="n"/>
      <c r="G31" s="37" t="n"/>
    </row>
    <row r="32" ht="30" customHeight="1">
      <c r="A32" s="37" t="inlineStr">
        <is>
          <t>2. Hiệu lực báo giá: 30 ngày kể từ ngày báo giá.
    报价有效期：自报价之日起30天。</t>
        </is>
      </c>
      <c r="B32" s="37" t="n"/>
      <c r="C32" s="37" t="n"/>
      <c r="D32" s="37" t="n"/>
      <c r="E32" s="37" t="n"/>
      <c r="F32" s="37" t="n"/>
      <c r="G32" s="37" t="n"/>
    </row>
    <row r="33" ht="30" customHeight="1">
      <c r="A33" s="37" t="inlineStr">
        <is>
          <t>3. Thời gian thi công: dự kiến từ ngày 30/10/2026 đến ngày 30/11/2026.
    施工时间：预计自2026年10月30日至2026年11月30日。</t>
        </is>
      </c>
      <c r="B33" s="37" t="n"/>
      <c r="C33" s="37" t="n"/>
      <c r="D33" s="37" t="n"/>
      <c r="E33" s="37" t="n"/>
      <c r="F33" s="37" t="n"/>
      <c r="G33" s="37" t="n"/>
    </row>
    <row r="34" ht="30" customHeight="1">
      <c r="A34" s="37" t="inlineStr">
        <is>
          <t>4. Địa điểm thi công: Số 1, Đường Dân Chủ, KCN VSIP, Xã Hưng Nguyên, Tỉnh Nghệ An.
    施工地点：越南义安省兴源社义安VSIP工业区民主路1号。</t>
        </is>
      </c>
      <c r="B34" s="37" t="n"/>
      <c r="C34" s="37" t="n"/>
      <c r="D34" s="37" t="n"/>
      <c r="E34" s="37" t="n"/>
      <c r="F34" s="37" t="n"/>
      <c r="G34" s="37" t="n"/>
    </row>
    <row r="35" ht="55" customHeight="1">
      <c r="A35" s="37" t="inlineStr">
        <is>
          <t>5. Thanh toán: chuyển khoản; tạm ứng 50% (16.000.000 đ) sau khi ký hợp đồng; thanh toán 50% còn lại (16.000.000 đ) trong 05 ngày làm việc sau khi nghiệm thu hoàn thành và nhận đủ hồ sơ quyết toán, hóa đơn hợp lệ.
    付款方式：银行转账；合同签订后预付50%（16.000.000越南盾），余款50%（16.000.000越南盾）于完工验收并收到完整结算资料及合法发票后05个工作日内支付。</t>
        </is>
      </c>
      <c r="B35" s="37" t="n"/>
      <c r="C35" s="37" t="n"/>
      <c r="D35" s="37" t="n"/>
      <c r="E35" s="37" t="n"/>
      <c r="F35" s="37" t="n"/>
      <c r="G35" s="37" t="n"/>
    </row>
    <row r="36" ht="30" customHeight="1">
      <c r="A36" s="37" t="inlineStr">
        <is>
          <t>6. Bảo hành 02 tháng kể từ ngày nghiệm thu hoàn thành, đối với phần việc lỗi do nhân công thi công.
    自完工验收之日起保修2个月，仅限因施工人工造成的缺陷。</t>
        </is>
      </c>
      <c r="B36" s="37" t="n"/>
      <c r="C36" s="37" t="n"/>
      <c r="D36" s="37" t="n"/>
      <c r="E36" s="37" t="n"/>
      <c r="F36" s="37" t="n"/>
      <c r="G36" s="37" t="n"/>
    </row>
    <row r="37" ht="42.5" customHeight="1">
      <c r="A37" s="37" t="inlineStr">
        <is>
          <t>7. Thông tin chuyển khoản: Số TK 1066217478 – Ngân hàng TMCP Ngoại thương Việt Nam (Vietcombank) – Chủ tài khoản: CT TNHH KY THUAT CONG TRINH BLT.
    银行账户：1066217478，户名：CT TNHH KY THUAT CONG TRINH BLT。</t>
        </is>
      </c>
      <c r="B37" s="37" t="n"/>
      <c r="C37" s="37" t="n"/>
      <c r="D37" s="37" t="n"/>
      <c r="E37" s="37" t="n"/>
      <c r="F37" s="37" t="n"/>
      <c r="G37" s="37" t="n"/>
    </row>
    <row r="38" ht="6" customHeight="1"/>
    <row r="39" ht="30" customHeight="1">
      <c r="A39" s="17" t="inlineStr">
        <is>
          <t>Rất mong nhận được sự hợp tác của Quý khách. Trân trọng!
期待与贵方合作，此致敬礼！</t>
        </is>
      </c>
      <c r="B39" s="17" t="n"/>
      <c r="C39" s="17" t="n"/>
      <c r="D39" s="17" t="n"/>
      <c r="E39" s="17" t="n"/>
      <c r="F39" s="17" t="n"/>
      <c r="G39" s="17" t="n"/>
    </row>
    <row r="40" ht="12" customHeight="1"/>
    <row r="41" ht="30" customHeight="1">
      <c r="A41" s="38" t="inlineStr">
        <is>
          <t>XÁC NHẬN CỦA KHÁCH HÀNG
客户确认</t>
        </is>
      </c>
      <c r="B41" s="38" t="n"/>
      <c r="C41" s="38" t="n"/>
      <c r="E41" s="38" t="inlineStr">
        <is>
          <t>GIÁM ĐỐC
总经理</t>
        </is>
      </c>
      <c r="F41" s="38" t="n"/>
      <c r="G41" s="38" t="n"/>
    </row>
    <row r="42" ht="15" customHeight="1">
      <c r="A42" s="39" t="inlineStr">
        <is>
          <t>(Ký, ghi rõ họ tên) （签字并注明姓名）</t>
        </is>
      </c>
      <c r="B42" s="39" t="n"/>
      <c r="C42" s="39" t="n"/>
      <c r="E42" s="39" t="inlineStr">
        <is>
          <t>(Ký, đóng dấu, ghi rõ họ tên) （签字盖章并注明姓名）</t>
        </is>
      </c>
      <c r="F42" s="39" t="n"/>
      <c r="G42" s="39" t="n"/>
    </row>
    <row r="43" ht="16" customHeight="1"/>
    <row r="44" ht="16" customHeight="1"/>
    <row r="45" ht="16" customHeight="1"/>
    <row r="46" ht="16" customHeight="1"/>
    <row r="47" ht="20" customHeight="1">
      <c r="E47" s="40" t="inlineStr">
        <is>
          <t>HỒ VĂN BÌNH</t>
        </is>
      </c>
      <c r="F47" s="40" t="n"/>
      <c r="G47" s="40" t="n"/>
    </row>
  </sheetData>
  <mergeCells count="37">
    <mergeCell ref="A32:G32"/>
    <mergeCell ref="B2:G2"/>
    <mergeCell ref="A41:C41"/>
    <mergeCell ref="E13:G13"/>
    <mergeCell ref="A8:G8"/>
    <mergeCell ref="A35:G35"/>
    <mergeCell ref="B1:G1"/>
    <mergeCell ref="A20:G20"/>
    <mergeCell ref="A12:C12"/>
    <mergeCell ref="E15:G15"/>
    <mergeCell ref="A28:G28"/>
    <mergeCell ref="A42:C42"/>
    <mergeCell ref="A9:G9"/>
    <mergeCell ref="E11:G11"/>
    <mergeCell ref="A31:G31"/>
    <mergeCell ref="A14:C14"/>
    <mergeCell ref="A34:G34"/>
    <mergeCell ref="A39:G39"/>
    <mergeCell ref="A30:G30"/>
    <mergeCell ref="A27:E27"/>
    <mergeCell ref="E16:G16"/>
    <mergeCell ref="A36:G36"/>
    <mergeCell ref="A13:C13"/>
    <mergeCell ref="E41:G41"/>
    <mergeCell ref="A26:E26"/>
    <mergeCell ref="E47:G47"/>
    <mergeCell ref="B4:G4"/>
    <mergeCell ref="E12:G12"/>
    <mergeCell ref="A15:C15"/>
    <mergeCell ref="A37:G37"/>
    <mergeCell ref="B3:G3"/>
    <mergeCell ref="E42:G42"/>
    <mergeCell ref="A11:C11"/>
    <mergeCell ref="E14:G14"/>
    <mergeCell ref="A18:G18"/>
    <mergeCell ref="A33:G33"/>
    <mergeCell ref="A16:C16"/>
  </mergeCells>
  <printOptions horizontalCentered="1"/>
  <pageMargins left="0.4" right="0.4" top="0.45" bottom="0.6" header="0.5" footer="0.25"/>
  <pageSetup orientation="portrait" paperSize="9" fitToHeight="0" fitToWidth="1"/>
  <headerFooter>
    <oddHeader/>
    <oddFooter>&amp;C&amp;"Arial,Regular"&amp;8 &amp;K7F7F7FCÔNG TY TNHH KỸ THUẬT CÔNG TRÌNH BLT  •  0984 586 089  •  Trang &amp;P/&amp;N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2026-10-30T07:07:27Z</dcterms:created>
  <dcterms:modified xmlns:dcterms="http://purl.org/dc/terms/" xmlns:xsi="http://www.w3.org/2001/XMLSchema-instance" xsi:type="dcterms:W3CDTF">2026-10-30T07:07:27Z</dcterms:modified>
</cp:coreProperties>
</file>
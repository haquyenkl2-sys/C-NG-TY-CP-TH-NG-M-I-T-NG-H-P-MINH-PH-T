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_rels/externalLink3.xml.rels" ContentType="application/vnd.openxmlformats-package.relationship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汇总表" sheetId="1" state="visible" r:id="rId3"/>
    <sheet name="BP2制冷机房系统工程" sheetId="2" state="visible" r:id="rId4"/>
    <sheet name="BP2制冷机房智能自控系统工程" sheetId="3" state="visible" r:id="rId5"/>
    <sheet name="BP2空调末端系统工程" sheetId="4" state="visible" r:id="rId6"/>
    <sheet name="MS1一楼末端系统" sheetId="5" state="visible" r:id="rId7"/>
    <sheet name="品牌表" sheetId="6" state="visible" r:id="rId8"/>
  </sheets>
  <externalReferences>
    <externalReference r:id="rId9"/>
    <externalReference r:id="rId10"/>
    <externalReference r:id="rId11"/>
  </externalReferences>
  <definedNames>
    <definedName function="false" hidden="false" localSheetId="2" name="_xlnm.Print_Area" vbProcedure="false">BP2制冷机房智能自控系统工程!$A$1:$J$31</definedName>
    <definedName function="false" hidden="false" localSheetId="2" name="_xlnm.Print_Titles" vbProcedure="false">BP2制冷机房智能自控系统工程!$1:$4</definedName>
    <definedName function="false" hidden="false" localSheetId="1" name="_xlnm.Print_Area" vbProcedure="false">BP2制冷机房系统工程!$A$1:$J$118</definedName>
    <definedName function="false" hidden="false" localSheetId="1" name="_xlnm.Print_Titles" vbProcedure="false">BP2制冷机房系统工程!$1:$4</definedName>
    <definedName function="false" hidden="false" localSheetId="3" name="_xlnm.Print_Area" vbProcedure="false">BP2空调末端系统工程!$A$1:$J$167</definedName>
    <definedName function="false" hidden="false" localSheetId="3" name="_xlnm.Print_Titles" vbProcedure="false">BP2空调末端系统工程!$1:$4</definedName>
    <definedName function="false" hidden="false" localSheetId="4" name="_xlnm.Print_Area" vbProcedure="false">MS1一楼末端系统!$A$1:$J$142</definedName>
    <definedName function="false" hidden="false" localSheetId="0" name="_xlnm.Print_Area" vbProcedure="false">汇总表!$A$1:$D$12</definedName>
    <definedName function="false" hidden="false" name="asd" vbProcedure="false">#REF!</definedName>
    <definedName function="false" hidden="false" name="curr" vbProcedure="false">[1]Cover!$G$3</definedName>
    <definedName function="false" hidden="false" name="mq" vbProcedure="false">'[2]P&amp;L-Act-Bgt -FY0304'!$C$5</definedName>
    <definedName function="false" hidden="false" name="TaxTV" vbProcedure="false">10%</definedName>
    <definedName function="false" hidden="false" name="TaxXL" vbProcedure="false">5%</definedName>
    <definedName function="false" hidden="false" name="_18_22" vbProcedure="false">#REF!</definedName>
    <definedName function="false" hidden="false" name="汇率" vbProcedure="false">'[3]#REF!'!$L$3</definedName>
    <definedName function="false" hidden="false" name="生产列1" vbProcedure="false">'[3]#REF!'!$O$5:$O$22</definedName>
    <definedName function="false" hidden="false" name="生产列11" vbProcedure="false">'[3]#REF!'!$O$5:$O$18</definedName>
    <definedName function="false" hidden="false" name="生产列15" vbProcedure="false">'[3]#REF!'!$N$5:$N$28</definedName>
    <definedName function="false" hidden="false" name="生产列16" vbProcedure="false">'[3]#REF!'!$O$5:$O$21</definedName>
    <definedName function="false" hidden="false" name="生产列17" vbProcedure="false">'[3]#REF!'!$M$5:$M$25</definedName>
    <definedName function="false" hidden="false" name="生产列19" vbProcedure="false">'[3]#REF!'!$P$5:$P$19</definedName>
    <definedName function="false" hidden="false" name="生产列2" vbProcedure="false">'[3]#REF!'!$O$5:$O$19</definedName>
    <definedName function="false" hidden="false" name="生产列20" vbProcedure="false">'[3]#REF!'!$M$5:$M$12</definedName>
    <definedName function="false" hidden="false" name="生产列3" vbProcedure="false">'[3]#REF!'!$M$5:$M$18</definedName>
    <definedName function="false" hidden="false" name="生产列4" vbProcedure="false">'[3]#REF!'!$O$5:$O$30</definedName>
    <definedName function="false" hidden="false" name="生产列5" vbProcedure="false">'[3]#REF!'!$F$6:$F$39</definedName>
    <definedName function="false" hidden="false" name="生产列6" vbProcedure="false">'[3]#REF!'!$O$5:$O$18</definedName>
    <definedName function="false" hidden="false" name="生产列7" vbProcedure="false">'[3]#REF!'!$O$5:$O$17</definedName>
    <definedName function="false" hidden="false" name="生产列8" vbProcedure="false">'[3]#REF!'!$O$5:$O$21</definedName>
    <definedName function="false" hidden="false" name="生产列9" vbProcedure="false">'[3]#REF!'!$O$5:$O$20</definedName>
    <definedName function="false" hidden="false" name="生产期" vbProcedure="false">'[3]#REF!'!$O$5</definedName>
    <definedName function="false" hidden="false" name="生产期1" vbProcedure="false">'[3]#REF!'!$O$5</definedName>
    <definedName function="false" hidden="false" name="生产期11" vbProcedure="false">'[3]#REF!'!$O$5</definedName>
    <definedName function="false" hidden="false" name="生产期15" vbProcedure="false">'[3]#REF!'!$N$5</definedName>
    <definedName function="false" hidden="false" name="生产期16" vbProcedure="false">'[3]#REF!'!$O$5</definedName>
    <definedName function="false" hidden="false" name="生产期17" vbProcedure="false">'[3]#REF!'!$M$5</definedName>
    <definedName function="false" hidden="false" name="生产期19" vbProcedure="false">'[3]#REF!'!$P$5</definedName>
    <definedName function="false" hidden="false" name="生产期2" vbProcedure="false">'[3]#REF!'!$O$5</definedName>
    <definedName function="false" hidden="false" name="生产期20" vbProcedure="false">'[3]#REF!'!$M$5</definedName>
    <definedName function="false" hidden="false" name="生产期3" vbProcedure="false">'[3]#REF!'!$M$5</definedName>
    <definedName function="false" hidden="false" name="生产期4" vbProcedure="false">'[3]#REF!'!$O$5</definedName>
    <definedName function="false" hidden="false" name="生产期5" vbProcedure="false">'[3]#ref!'!#ref!</definedName>
    <definedName function="false" hidden="false" name="生产期6" vbProcedure="false">'[3]#REF!'!$O$5</definedName>
    <definedName function="false" hidden="false" name="生产期7" vbProcedure="false">'[3]#REF!'!$O$5</definedName>
    <definedName function="false" hidden="false" name="生产期8" vbProcedure="false">'[3]#REF!'!$O$5</definedName>
    <definedName function="false" hidden="false" name="生产期9" vbProcedure="false">'[3]#REF!'!$O$5</definedName>
    <definedName function="false" hidden="false" localSheetId="0" name="_18_22" vbProcedure="false">#REF!</definedName>
    <definedName function="false" hidden="false" localSheetId="3" name="asd" vbProcedure="false">#REF!</definedName>
    <definedName function="false" hidden="false" localSheetId="3" name="_18_22"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<sst xmlns="http://schemas.openxmlformats.org/spreadsheetml/2006/main" count="1769" uniqueCount="589">
  <si>
    <r>
      <rPr>
        <b val="true"/>
        <sz val="20"/>
        <rFont val="宋体"/>
        <family val="0"/>
        <charset val="1"/>
      </rPr>
      <t xml:space="preserve">MEGA</t>
    </r>
    <r>
      <rPr>
        <b val="true"/>
        <sz val="20"/>
        <rFont val="WenQuanYi Zen Hei"/>
        <family val="2"/>
      </rPr>
      <t xml:space="preserve">一期</t>
    </r>
    <r>
      <rPr>
        <b val="true"/>
        <sz val="20"/>
        <rFont val="宋体"/>
        <family val="0"/>
        <charset val="1"/>
      </rPr>
      <t xml:space="preserve">MS1</t>
    </r>
    <r>
      <rPr>
        <b val="true"/>
        <sz val="20"/>
        <rFont val="WenQuanYi Zen Hei"/>
        <family val="2"/>
      </rPr>
      <t xml:space="preserve">一楼</t>
    </r>
    <r>
      <rPr>
        <b val="true"/>
        <sz val="20"/>
        <rFont val="宋体"/>
        <family val="0"/>
        <charset val="1"/>
      </rPr>
      <t xml:space="preserve">&amp;BP2</t>
    </r>
    <r>
      <rPr>
        <b val="true"/>
        <sz val="20"/>
        <rFont val="WenQuanYi Zen Hei"/>
        <family val="2"/>
      </rPr>
      <t xml:space="preserve">空调安装工程汇总表
</t>
    </r>
    <r>
      <rPr>
        <b val="true"/>
        <sz val="20"/>
        <color rgb="FF1F4E79"/>
        <rFont val="Arial"/>
        <family val="0"/>
        <charset val="1"/>
      </rPr>
      <t xml:space="preserve">Bảng tổng hợp công trình lắp đặt điều hòa không khí MEGA giai đoạn 1 – MS1 tầng 1 &amp; BP2</t>
    </r>
  </si>
  <si>
    <r>
      <rPr>
        <b val="true"/>
        <sz val="12"/>
        <rFont val="WenQuanYi Zen Hei"/>
        <family val="2"/>
      </rPr>
      <t xml:space="preserve">工程名称：</t>
    </r>
    <r>
      <rPr>
        <b val="true"/>
        <sz val="12"/>
        <rFont val="宋体"/>
        <family val="0"/>
        <charset val="1"/>
      </rPr>
      <t xml:space="preserve">MEGA</t>
    </r>
    <r>
      <rPr>
        <b val="true"/>
        <sz val="12"/>
        <rFont val="WenQuanYi Zen Hei"/>
        <family val="2"/>
      </rPr>
      <t xml:space="preserve">一期</t>
    </r>
    <r>
      <rPr>
        <b val="true"/>
        <sz val="12"/>
        <rFont val="宋体"/>
        <family val="0"/>
        <charset val="1"/>
      </rPr>
      <t xml:space="preserve">MS1</t>
    </r>
    <r>
      <rPr>
        <b val="true"/>
        <sz val="12"/>
        <rFont val="WenQuanYi Zen Hei"/>
        <family val="2"/>
      </rPr>
      <t xml:space="preserve">一楼</t>
    </r>
    <r>
      <rPr>
        <b val="true"/>
        <sz val="12"/>
        <rFont val="宋体"/>
        <family val="0"/>
        <charset val="1"/>
      </rPr>
      <t xml:space="preserve">&amp;BP2</t>
    </r>
    <r>
      <rPr>
        <b val="true"/>
        <sz val="12"/>
        <rFont val="WenQuanYi Zen Hei"/>
        <family val="2"/>
      </rPr>
      <t xml:space="preserve">空调安装工程
</t>
    </r>
    <r>
      <rPr>
        <b val="true"/>
        <sz val="12"/>
        <color rgb="FF1F4E79"/>
        <rFont val="Arial"/>
        <family val="0"/>
        <charset val="1"/>
      </rPr>
      <t xml:space="preserve">Tên công trình: Công trình lắp đặt điều hòa không khí MEGA giai đoạn 1 – MS1 tầng 1 &amp; BP2</t>
    </r>
  </si>
  <si>
    <r>
      <rPr>
        <b val="true"/>
        <sz val="11"/>
        <rFont val="WenQuanYi Zen Hei"/>
        <family val="2"/>
      </rPr>
      <t xml:space="preserve">序号
</t>
    </r>
    <r>
      <rPr>
        <b val="true"/>
        <sz val="11"/>
        <color rgb="FF1F4E79"/>
        <rFont val="Arial"/>
        <family val="0"/>
        <charset val="1"/>
      </rPr>
      <t xml:space="preserve">STT</t>
    </r>
  </si>
  <si>
    <r>
      <rPr>
        <b val="true"/>
        <sz val="11"/>
        <rFont val="WenQuanYi Zen Hei"/>
        <family val="2"/>
      </rPr>
      <t xml:space="preserve">分项工程内容
</t>
    </r>
    <r>
      <rPr>
        <b val="true"/>
        <sz val="11"/>
        <color rgb="FF1F4E79"/>
        <rFont val="Arial"/>
        <family val="0"/>
        <charset val="1"/>
      </rPr>
      <t xml:space="preserve">Nội dung hạng mục công trình</t>
    </r>
  </si>
  <si>
    <r>
      <rPr>
        <b val="true"/>
        <sz val="11"/>
        <rFont val="WenQuanYi Zen Hei"/>
        <family val="2"/>
      </rPr>
      <t xml:space="preserve">金额
</t>
    </r>
    <r>
      <rPr>
        <b val="true"/>
        <sz val="11"/>
        <color rgb="FF1F4E79"/>
        <rFont val="Arial"/>
        <family val="0"/>
        <charset val="1"/>
      </rPr>
      <t xml:space="preserve">Số tiền</t>
    </r>
  </si>
  <si>
    <r>
      <rPr>
        <b val="true"/>
        <sz val="11"/>
        <rFont val="WenQuanYi Zen Hei"/>
        <family val="2"/>
      </rPr>
      <t xml:space="preserve">备注
</t>
    </r>
    <r>
      <rPr>
        <b val="true"/>
        <sz val="11"/>
        <color rgb="FF1F4E79"/>
        <rFont val="Arial"/>
        <family val="0"/>
        <charset val="1"/>
      </rPr>
      <t xml:space="preserve">Ghi chú</t>
    </r>
  </si>
  <si>
    <r>
      <rPr>
        <b val="true"/>
        <sz val="11"/>
        <rFont val="宋体"/>
        <family val="0"/>
        <charset val="1"/>
      </rPr>
      <t xml:space="preserve">BP2</t>
    </r>
    <r>
      <rPr>
        <b val="true"/>
        <sz val="11"/>
        <rFont val="WenQuanYi Zen Hei"/>
        <family val="2"/>
      </rPr>
      <t xml:space="preserve">制冷机房系统
</t>
    </r>
    <r>
      <rPr>
        <b val="true"/>
        <sz val="11"/>
        <color rgb="FF1F4E79"/>
        <rFont val="Arial"/>
        <family val="0"/>
        <charset val="1"/>
      </rPr>
      <t xml:space="preserve">Hệ thống phòng máy lạnh trung tâm BP2</t>
    </r>
  </si>
  <si>
    <r>
      <rPr>
        <b val="true"/>
        <sz val="11"/>
        <rFont val="宋体"/>
        <family val="0"/>
        <charset val="1"/>
      </rPr>
      <t xml:space="preserve">BP2</t>
    </r>
    <r>
      <rPr>
        <b val="true"/>
        <sz val="11"/>
        <rFont val="WenQuanYi Zen Hei"/>
        <family val="2"/>
      </rPr>
      <t xml:space="preserve">制冷机房智能自控系统
</t>
    </r>
    <r>
      <rPr>
        <b val="true"/>
        <sz val="11"/>
        <color rgb="FF1F4E79"/>
        <rFont val="Arial"/>
        <family val="0"/>
        <charset val="1"/>
      </rPr>
      <t xml:space="preserve">Hệ thống điều khiển tự động thông minh phòng máy lạnh trung tâm BP2</t>
    </r>
  </si>
  <si>
    <r>
      <rPr>
        <b val="true"/>
        <sz val="11"/>
        <rFont val="宋体"/>
        <family val="0"/>
        <charset val="1"/>
      </rPr>
      <t xml:space="preserve">BP2</t>
    </r>
    <r>
      <rPr>
        <b val="true"/>
        <sz val="11"/>
        <rFont val="WenQuanYi Zen Hei"/>
        <family val="2"/>
      </rPr>
      <t xml:space="preserve">空调末端系统
</t>
    </r>
    <r>
      <rPr>
        <b val="true"/>
        <sz val="11"/>
        <color rgb="FF1F4E79"/>
        <rFont val="Arial"/>
        <family val="0"/>
        <charset val="1"/>
      </rPr>
      <t xml:space="preserve">Hệ thống thiết bị đầu cuối điều hòa BP2</t>
    </r>
  </si>
  <si>
    <r>
      <rPr>
        <b val="true"/>
        <sz val="11"/>
        <rFont val="宋体"/>
        <family val="0"/>
        <charset val="1"/>
      </rPr>
      <t xml:space="preserve">MS1</t>
    </r>
    <r>
      <rPr>
        <b val="true"/>
        <sz val="11"/>
        <rFont val="WenQuanYi Zen Hei"/>
        <family val="2"/>
      </rPr>
      <t xml:space="preserve">一楼末端系统
</t>
    </r>
    <r>
      <rPr>
        <b val="true"/>
        <sz val="11"/>
        <color rgb="FF1F4E79"/>
        <rFont val="Arial"/>
        <family val="0"/>
        <charset val="1"/>
      </rPr>
      <t xml:space="preserve">Hệ thống thiết bị đầu cuối MS1 tầng 1</t>
    </r>
  </si>
  <si>
    <r>
      <rPr>
        <b val="true"/>
        <sz val="11"/>
        <rFont val="WenQuanYi Zen Hei"/>
        <family val="2"/>
      </rPr>
      <t xml:space="preserve">运输费
</t>
    </r>
    <r>
      <rPr>
        <b val="true"/>
        <sz val="11"/>
        <color rgb="FF1F4E79"/>
        <rFont val="Arial"/>
        <family val="0"/>
        <charset val="1"/>
      </rPr>
      <t xml:space="preserve">Phí vận chuyển</t>
    </r>
  </si>
  <si>
    <r>
      <rPr>
        <b val="true"/>
        <sz val="11"/>
        <rFont val="WenQuanYi Zen Hei"/>
        <family val="2"/>
      </rPr>
      <t xml:space="preserve">以上工程不含税合计
</t>
    </r>
    <r>
      <rPr>
        <b val="true"/>
        <sz val="11"/>
        <color rgb="FF1F4E79"/>
        <rFont val="Arial"/>
        <family val="0"/>
        <charset val="1"/>
      </rPr>
      <t xml:space="preserve">Tổng cộng các hạng mục trên (chưa bao gồm thuế)</t>
    </r>
  </si>
  <si>
    <r>
      <rPr>
        <b val="true"/>
        <sz val="11"/>
        <rFont val="WenQuanYi Zen Hei"/>
        <family val="2"/>
      </rPr>
      <t xml:space="preserve">税金（</t>
    </r>
    <r>
      <rPr>
        <b val="true"/>
        <sz val="11"/>
        <rFont val="宋体"/>
        <family val="0"/>
        <charset val="1"/>
      </rPr>
      <t xml:space="preserve">10%</t>
    </r>
    <r>
      <rPr>
        <b val="true"/>
        <sz val="11"/>
        <rFont val="WenQuanYi Zen Hei"/>
        <family val="2"/>
      </rPr>
      <t xml:space="preserve">）</t>
    </r>
    <r>
      <rPr>
        <b val="true"/>
        <sz val="11"/>
        <rFont val="宋体"/>
        <family val="0"/>
        <charset val="1"/>
      </rPr>
      <t xml:space="preserve">MEGA</t>
    </r>
    <r>
      <rPr>
        <b val="true"/>
        <sz val="11"/>
        <rFont val="WenQuanYi Zen Hei"/>
        <family val="2"/>
      </rPr>
      <t xml:space="preserve">为</t>
    </r>
    <r>
      <rPr>
        <b val="true"/>
        <sz val="11"/>
        <rFont val="宋体"/>
        <family val="0"/>
        <charset val="1"/>
      </rPr>
      <t xml:space="preserve">EPE</t>
    </r>
    <r>
      <rPr>
        <b val="true"/>
        <sz val="11"/>
        <rFont val="WenQuanYi Zen Hei"/>
        <family val="2"/>
      </rPr>
      <t xml:space="preserve">企业
</t>
    </r>
    <r>
      <rPr>
        <b val="true"/>
        <sz val="11"/>
        <color rgb="FF1F4E79"/>
        <rFont val="Arial"/>
        <family val="0"/>
        <charset val="1"/>
      </rPr>
      <t xml:space="preserve">Thuế (10%) MEGA là doanh nghiệp EPE</t>
    </r>
  </si>
  <si>
    <r>
      <rPr>
        <b val="true"/>
        <sz val="11"/>
        <rFont val="WenQuanYi Zen Hei"/>
        <family val="2"/>
      </rPr>
      <t xml:space="preserve">项目总成本（不含增值税）
</t>
    </r>
    <r>
      <rPr>
        <b val="true"/>
        <sz val="11"/>
        <color rgb="FF1F4E79"/>
        <rFont val="Arial"/>
        <family val="0"/>
        <charset val="1"/>
      </rPr>
      <t xml:space="preserve">Tổng chi phí dự án (chưa bao gồm thuế GTGT)</t>
    </r>
  </si>
  <si>
    <r>
      <rPr>
        <sz val="11"/>
        <rFont val="WenQuanYi Zen Hei"/>
        <family val="2"/>
      </rPr>
      <t xml:space="preserve">一、工程范围：</t>
    </r>
    <r>
      <rPr>
        <sz val="11"/>
        <rFont val="宋体"/>
        <family val="0"/>
        <charset val="1"/>
      </rPr>
      <t xml:space="preserve">MS1</t>
    </r>
    <r>
      <rPr>
        <sz val="11"/>
        <rFont val="WenQuanYi Zen Hei"/>
        <family val="2"/>
      </rPr>
      <t xml:space="preserve">一楼</t>
    </r>
    <r>
      <rPr>
        <sz val="11"/>
        <rFont val="宋体"/>
        <family val="0"/>
        <charset val="1"/>
      </rPr>
      <t xml:space="preserve">&amp;BP2</t>
    </r>
    <r>
      <rPr>
        <sz val="11"/>
        <rFont val="WenQuanYi Zen Hei"/>
        <family val="2"/>
      </rPr>
      <t xml:space="preserve">的室内空调安装、管道安装及保温、空调主机安装、空调配电（详见清单明细）、高效机房及控制。                                                                                                                                            
</t>
    </r>
    <r>
      <rPr>
        <sz val="11"/>
        <color rgb="FF1F4E79"/>
        <rFont val="Arial"/>
        <family val="0"/>
        <charset val="1"/>
      </rPr>
      <t xml:space="preserve">1. Phạm vi công trình: lắp đặt điều hòa trong nhà, lắp đặt và bảo ôn đường ống, lắp đặt máy chính điều hòa, cấp điện điều hòa (chi tiết xem bảng kê), phòng máy hiệu suất cao và điều khiển của MS1 tầng 1 &amp; BP2.
</t>
    </r>
    <r>
      <rPr>
        <sz val="11"/>
        <rFont val="WenQuanYi Zen Hei"/>
        <family val="2"/>
      </rPr>
      <t xml:space="preserve">二、工程量按实际结算：                                                                                                                                        三、本项目所有电缆均为铜电缆。
</t>
    </r>
    <r>
      <rPr>
        <sz val="11"/>
        <color rgb="FF1F4E79"/>
        <rFont val="Arial"/>
        <family val="0"/>
        <charset val="1"/>
      </rPr>
      <t xml:space="preserve">2. Khối lượng công trình quyết toán theo thực tế:
3. Toàn bộ cáp điện của dự án này đều là cáp đồng.</t>
    </r>
  </si>
  <si>
    <r>
      <rPr>
        <b val="true"/>
        <sz val="20"/>
        <rFont val="WenQuanYi Zen Hei"/>
        <family val="2"/>
      </rPr>
      <t xml:space="preserve">分部分项工程量清单与计价表
</t>
    </r>
    <r>
      <rPr>
        <b val="true"/>
        <sz val="20"/>
        <color rgb="FF1F4E79"/>
        <rFont val="Arial"/>
        <family val="0"/>
        <charset val="1"/>
      </rPr>
      <t xml:space="preserve">Bảng kê khối lượng và tính giá các hạng mục công trình</t>
    </r>
  </si>
  <si>
    <r>
      <rPr>
        <b val="true"/>
        <sz val="9"/>
        <rFont val="WenQuanYi Zen Hei"/>
        <family val="2"/>
      </rPr>
      <t xml:space="preserve">工程名称：</t>
    </r>
    <r>
      <rPr>
        <b val="true"/>
        <sz val="9"/>
        <rFont val="宋体"/>
        <family val="0"/>
        <charset val="1"/>
      </rPr>
      <t xml:space="preserve">BP2</t>
    </r>
    <r>
      <rPr>
        <b val="true"/>
        <sz val="9"/>
        <rFont val="WenQuanYi Zen Hei"/>
        <family val="2"/>
      </rPr>
      <t xml:space="preserve">制冷机房系统工程
</t>
    </r>
    <r>
      <rPr>
        <b val="true"/>
        <sz val="9"/>
        <color rgb="FF1F4E79"/>
        <rFont val="Arial"/>
        <family val="0"/>
        <charset val="1"/>
      </rPr>
      <t xml:space="preserve">Tên công trình: Công trình hệ thống phòng máy lạnh trung tâm BP2</t>
    </r>
  </si>
  <si>
    <r>
      <rPr>
        <b val="true"/>
        <sz val="9"/>
        <rFont val="WenQuanYi Zen Hei"/>
        <family val="2"/>
      </rPr>
      <t xml:space="preserve">序号
</t>
    </r>
    <r>
      <rPr>
        <b val="true"/>
        <sz val="9"/>
        <color rgb="FF1F4E79"/>
        <rFont val="Arial"/>
        <family val="0"/>
        <charset val="1"/>
      </rPr>
      <t xml:space="preserve">STT</t>
    </r>
  </si>
  <si>
    <r>
      <rPr>
        <b val="true"/>
        <sz val="9"/>
        <rFont val="WenQuanYi Zen Hei"/>
        <family val="2"/>
      </rPr>
      <t xml:space="preserve">项目名称
</t>
    </r>
    <r>
      <rPr>
        <b val="true"/>
        <sz val="9"/>
        <color rgb="FF1F4E79"/>
        <rFont val="Arial"/>
        <family val="0"/>
        <charset val="1"/>
      </rPr>
      <t xml:space="preserve">Tên hạng mục</t>
    </r>
  </si>
  <si>
    <r>
      <rPr>
        <b val="true"/>
        <sz val="9"/>
        <rFont val="WenQuanYi Zen Hei"/>
        <family val="2"/>
      </rPr>
      <t xml:space="preserve">项目特征描述
</t>
    </r>
    <r>
      <rPr>
        <b val="true"/>
        <sz val="9"/>
        <color rgb="FF1F4E79"/>
        <rFont val="Arial"/>
        <family val="0"/>
        <charset val="1"/>
      </rPr>
      <t xml:space="preserve">Mô tả đặc tính hạng mục</t>
    </r>
  </si>
  <si>
    <r>
      <rPr>
        <b val="true"/>
        <sz val="9"/>
        <rFont val="WenQuanYi Zen Hei"/>
        <family val="2"/>
      </rPr>
      <t xml:space="preserve">计量单位
</t>
    </r>
    <r>
      <rPr>
        <b val="true"/>
        <sz val="9"/>
        <color rgb="FF1F4E79"/>
        <rFont val="Arial"/>
        <family val="0"/>
        <charset val="1"/>
      </rPr>
      <t xml:space="preserve">Đơn vị tính</t>
    </r>
  </si>
  <si>
    <r>
      <rPr>
        <b val="true"/>
        <sz val="9"/>
        <rFont val="WenQuanYi Zen Hei"/>
        <family val="2"/>
      </rPr>
      <t xml:space="preserve">工程量
</t>
    </r>
    <r>
      <rPr>
        <b val="true"/>
        <sz val="9"/>
        <color rgb="FF1F4E79"/>
        <rFont val="Arial"/>
        <family val="0"/>
        <charset val="1"/>
      </rPr>
      <t xml:space="preserve">Khối lượng</t>
    </r>
  </si>
  <si>
    <r>
      <rPr>
        <b val="true"/>
        <sz val="9"/>
        <rFont val="WenQuanYi Zen Hei"/>
        <family val="2"/>
      </rPr>
      <t xml:space="preserve">综合单价组成
</t>
    </r>
    <r>
      <rPr>
        <b val="true"/>
        <sz val="9"/>
        <color rgb="FF1F4E79"/>
        <rFont val="Arial"/>
        <family val="0"/>
        <charset val="1"/>
      </rPr>
      <t xml:space="preserve">Cấu thành đơn giá tổng hợp</t>
    </r>
  </si>
  <si>
    <r>
      <rPr>
        <b val="true"/>
        <sz val="9"/>
        <rFont val="WenQuanYi Zen Hei"/>
        <family val="2"/>
      </rPr>
      <t xml:space="preserve">综合单价
</t>
    </r>
    <r>
      <rPr>
        <b val="true"/>
        <sz val="9"/>
        <color rgb="FF1F4E79"/>
        <rFont val="Arial"/>
        <family val="0"/>
        <charset val="1"/>
      </rPr>
      <t xml:space="preserve">Đơn giá tổng hợp</t>
    </r>
  </si>
  <si>
    <r>
      <rPr>
        <b val="true"/>
        <sz val="9"/>
        <rFont val="WenQuanYi Zen Hei"/>
        <family val="2"/>
      </rPr>
      <t xml:space="preserve">合价
</t>
    </r>
    <r>
      <rPr>
        <b val="true"/>
        <sz val="9"/>
        <color rgb="FF1F4E79"/>
        <rFont val="Arial"/>
        <family val="0"/>
        <charset val="1"/>
      </rPr>
      <t xml:space="preserve">Thành tiền</t>
    </r>
  </si>
  <si>
    <r>
      <rPr>
        <b val="true"/>
        <sz val="9"/>
        <rFont val="WenQuanYi Zen Hei"/>
        <family val="2"/>
      </rPr>
      <t xml:space="preserve">备注</t>
    </r>
    <r>
      <rPr>
        <b val="true"/>
        <sz val="9"/>
        <rFont val="宋体"/>
        <family val="0"/>
        <charset val="1"/>
      </rPr>
      <t xml:space="preserve">/</t>
    </r>
    <r>
      <rPr>
        <b val="true"/>
        <sz val="9"/>
        <rFont val="WenQuanYi Zen Hei"/>
        <family val="2"/>
      </rPr>
      <t xml:space="preserve">品牌
</t>
    </r>
    <r>
      <rPr>
        <b val="true"/>
        <sz val="9"/>
        <color rgb="FF1F4E79"/>
        <rFont val="Arial"/>
        <family val="0"/>
        <charset val="1"/>
      </rPr>
      <t xml:space="preserve">Ghi chú/Thương hiệu</t>
    </r>
  </si>
  <si>
    <r>
      <rPr>
        <b val="true"/>
        <sz val="9"/>
        <rFont val="WenQuanYi Zen Hei"/>
        <family val="2"/>
      </rPr>
      <t xml:space="preserve">材料单价
</t>
    </r>
    <r>
      <rPr>
        <b val="true"/>
        <sz val="9"/>
        <color rgb="FF1F4E79"/>
        <rFont val="Arial"/>
        <family val="0"/>
        <charset val="1"/>
      </rPr>
      <t xml:space="preserve">Đơn giá vật tư</t>
    </r>
  </si>
  <si>
    <r>
      <rPr>
        <b val="true"/>
        <sz val="9"/>
        <rFont val="WenQuanYi Zen Hei"/>
        <family val="2"/>
      </rPr>
      <t xml:space="preserve">人工单价
</t>
    </r>
    <r>
      <rPr>
        <b val="true"/>
        <sz val="9"/>
        <color rgb="FF1F4E79"/>
        <rFont val="Arial"/>
        <family val="0"/>
        <charset val="1"/>
      </rPr>
      <t xml:space="preserve">Đơn giá nhân công</t>
    </r>
  </si>
  <si>
    <r>
      <rPr>
        <b val="true"/>
        <sz val="9"/>
        <rFont val="WenQuanYi Zen Hei"/>
        <family val="2"/>
      </rPr>
      <t xml:space="preserve">一、
</t>
    </r>
    <r>
      <rPr>
        <b val="true"/>
        <sz val="9"/>
        <color rgb="FF1F4E79"/>
        <rFont val="Arial"/>
        <family val="0"/>
        <charset val="1"/>
      </rPr>
      <t xml:space="preserve">I.</t>
    </r>
  </si>
  <si>
    <r>
      <rPr>
        <b val="true"/>
        <sz val="9"/>
        <rFont val="WenQuanYi Zen Hei"/>
        <family val="2"/>
      </rPr>
      <t xml:space="preserve">空调设备
</t>
    </r>
    <r>
      <rPr>
        <b val="true"/>
        <sz val="9"/>
        <color rgb="FF1F4E79"/>
        <rFont val="Arial"/>
        <family val="0"/>
        <charset val="1"/>
      </rPr>
      <t xml:space="preserve">Thiết bị điều hòa không khí</t>
    </r>
  </si>
  <si>
    <r>
      <rPr>
        <sz val="9"/>
        <rFont val="WenQuanYi Zen Hei"/>
        <family val="2"/>
      </rPr>
      <t xml:space="preserve">水冷变频离心式冷水机组
</t>
    </r>
    <r>
      <rPr>
        <sz val="9"/>
        <color rgb="FF1F4E79"/>
        <rFont val="Arial"/>
        <family val="0"/>
        <charset val="1"/>
      </rPr>
      <t xml:space="preserve">Cụm máy làm lạnh nước (chiller) ly tâm biến tần giải nhiệt nước
</t>
    </r>
    <r>
      <rPr>
        <sz val="9"/>
        <rFont val="宋体"/>
        <family val="0"/>
        <charset val="1"/>
      </rPr>
      <t xml:space="preserve">CH-01</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</si>
  <si>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水冷变频离心式冷水机组
</t>
    </r>
    <r>
      <rPr>
        <sz val="9"/>
        <color rgb="FF1F4E79"/>
        <rFont val="Arial"/>
        <family val="0"/>
        <charset val="1"/>
      </rPr>
      <t xml:space="preserve">1. Tên: Cụm máy làm lạnh nước (chiller) ly tâm biến tần giải nhiệt nước
</t>
    </r>
    <r>
      <rPr>
        <sz val="9"/>
        <rFont val="宋体"/>
        <family val="0"/>
        <charset val="1"/>
      </rPr>
      <t xml:space="preserve">2.</t>
    </r>
    <r>
      <rPr>
        <sz val="9"/>
        <rFont val="WenQuanYi Zen Hei"/>
        <family val="2"/>
      </rPr>
      <t xml:space="preserve">编号</t>
    </r>
    <r>
      <rPr>
        <sz val="9"/>
        <rFont val="宋体"/>
        <family val="0"/>
        <charset val="1"/>
      </rPr>
      <t xml:space="preserve">:CH-01
</t>
    </r>
    <r>
      <rPr>
        <sz val="9"/>
        <color rgb="FF1F4E79"/>
        <rFont val="Arial"/>
        <family val="0"/>
        <charset val="1"/>
      </rPr>
      <t xml:space="preserve">2. Mã hiệu: CH-01
</t>
    </r>
    <r>
      <rPr>
        <sz val="9"/>
        <rFont val="WenQuanYi Zen Hei"/>
        <family val="2"/>
      </rPr>
      <t xml:space="preserve">制冷量</t>
    </r>
    <r>
      <rPr>
        <sz val="9"/>
        <rFont val="宋体"/>
        <family val="0"/>
        <charset val="1"/>
      </rPr>
      <t xml:space="preserve">:2461kW(700RT)
</t>
    </r>
    <r>
      <rPr>
        <sz val="9"/>
        <color rgb="FF1F4E79"/>
        <rFont val="Arial"/>
        <family val="0"/>
        <charset val="1"/>
      </rPr>
      <t xml:space="preserve">Công suất lạnh: 2461kW (700RT)
</t>
    </r>
    <r>
      <rPr>
        <sz val="9"/>
        <rFont val="WenQuanYi Zen Hei"/>
        <family val="2"/>
      </rPr>
      <t xml:space="preserve">功率</t>
    </r>
    <r>
      <rPr>
        <sz val="9"/>
        <rFont val="宋体"/>
        <family val="0"/>
        <charset val="1"/>
      </rPr>
      <t xml:space="preserve">:441.3kW
</t>
    </r>
    <r>
      <rPr>
        <sz val="9"/>
        <color rgb="FF1F4E79"/>
        <rFont val="Arial"/>
        <family val="0"/>
        <charset val="1"/>
      </rPr>
      <t xml:space="preserve">Công suất điện: 441.3kW
</t>
    </r>
    <r>
      <rPr>
        <sz val="9"/>
        <rFont val="WenQuanYi Zen Hei"/>
        <family val="2"/>
      </rPr>
      <t xml:space="preserve">冷冻水流量</t>
    </r>
    <r>
      <rPr>
        <sz val="9"/>
        <rFont val="宋体"/>
        <family val="0"/>
        <charset val="1"/>
      </rPr>
      <t xml:space="preserve">:422.64m3/h
</t>
    </r>
    <r>
      <rPr>
        <sz val="9"/>
        <color rgb="FF1F4E79"/>
        <rFont val="Arial"/>
        <family val="0"/>
        <charset val="1"/>
      </rPr>
      <t xml:space="preserve">Lưu lượng nước lạnh: 422.64m3/h
</t>
    </r>
    <r>
      <rPr>
        <sz val="9"/>
        <rFont val="WenQuanYi Zen Hei"/>
        <family val="2"/>
      </rPr>
      <t xml:space="preserve">冷却水流量</t>
    </r>
    <r>
      <rPr>
        <sz val="9"/>
        <rFont val="宋体"/>
        <family val="0"/>
        <charset val="1"/>
      </rPr>
      <t xml:space="preserve">:501.12m3/h
</t>
    </r>
    <r>
      <rPr>
        <sz val="9"/>
        <color rgb="FF1F4E79"/>
        <rFont val="Arial"/>
        <family val="0"/>
        <charset val="1"/>
      </rPr>
      <t xml:space="preserve">Lưu lượng nước giải nhiệt: 501.12m3/h
</t>
    </r>
    <r>
      <rPr>
        <sz val="9"/>
        <rFont val="WenQuanYi Zen Hei"/>
        <family val="2"/>
      </rPr>
      <t xml:space="preserve">冷冻水进出水温</t>
    </r>
    <r>
      <rPr>
        <sz val="9"/>
        <rFont val="宋体"/>
        <family val="0"/>
        <charset val="1"/>
      </rPr>
      <t xml:space="preserve">:12/7℃
</t>
    </r>
    <r>
      <rPr>
        <sz val="9"/>
        <color rgb="FF1F4E79"/>
        <rFont val="Arial"/>
        <family val="0"/>
        <charset val="1"/>
      </rPr>
      <t xml:space="preserve">Nhiệt độ nước lạnh vào/ra: 12/7℃
</t>
    </r>
    <r>
      <rPr>
        <sz val="9"/>
        <rFont val="WenQuanYi Zen Hei"/>
        <family val="2"/>
      </rPr>
      <t xml:space="preserve">冷却水进出水温</t>
    </r>
    <r>
      <rPr>
        <sz val="9"/>
        <rFont val="宋体"/>
        <family val="0"/>
        <charset val="1"/>
      </rPr>
      <t xml:space="preserve">:32/37℃
</t>
    </r>
    <r>
      <rPr>
        <sz val="9"/>
        <color rgb="FF1F4E79"/>
        <rFont val="Arial"/>
        <family val="0"/>
        <charset val="1"/>
      </rPr>
      <t xml:space="preserve">Nhiệt độ nước giải nhiệt vào/ra: 32/37℃
</t>
    </r>
    <r>
      <rPr>
        <sz val="9"/>
        <rFont val="宋体"/>
        <family val="0"/>
        <charset val="1"/>
      </rPr>
      <t xml:space="preserve">COP</t>
    </r>
    <r>
      <rPr>
        <sz val="9"/>
        <rFont val="WenQuanYi Zen Hei"/>
        <family val="2"/>
      </rPr>
      <t xml:space="preserve">值</t>
    </r>
    <r>
      <rPr>
        <sz val="9"/>
        <rFont val="宋体"/>
        <family val="0"/>
        <charset val="1"/>
      </rPr>
      <t xml:space="preserve">:</t>
    </r>
    <r>
      <rPr>
        <sz val="9"/>
        <rFont val="WenQuanYi Zen Hei"/>
        <family val="2"/>
      </rPr>
      <t xml:space="preserve">用户工况</t>
    </r>
    <r>
      <rPr>
        <sz val="9"/>
        <rFont val="宋体"/>
        <family val="0"/>
        <charset val="1"/>
      </rPr>
      <t xml:space="preserve">5.57</t>
    </r>
    <r>
      <rPr>
        <sz val="9"/>
        <rFont val="WenQuanYi Zen Hei"/>
        <family val="2"/>
      </rPr>
      <t xml:space="preserve">，国标工况</t>
    </r>
    <r>
      <rPr>
        <sz val="9"/>
        <rFont val="宋体"/>
        <family val="0"/>
        <charset val="1"/>
      </rPr>
      <t xml:space="preserve">6.07
</t>
    </r>
    <r>
      <rPr>
        <sz val="9"/>
        <color rgb="FF1F4E79"/>
        <rFont val="Arial"/>
        <family val="0"/>
        <charset val="1"/>
      </rPr>
      <t xml:space="preserve">Hệ số COP: điều kiện vận hành của người dùng 5.57, điều kiện tiêu chuẩn quốc gia 6.07
</t>
    </r>
    <r>
      <rPr>
        <sz val="9"/>
        <rFont val="宋体"/>
        <family val="0"/>
        <charset val="1"/>
      </rPr>
      <t xml:space="preserve">IPLV</t>
    </r>
    <r>
      <rPr>
        <sz val="9"/>
        <rFont val="WenQuanYi Zen Hei"/>
        <family val="2"/>
      </rPr>
      <t xml:space="preserve">值</t>
    </r>
    <r>
      <rPr>
        <sz val="9"/>
        <rFont val="宋体"/>
        <family val="0"/>
        <charset val="1"/>
      </rPr>
      <t xml:space="preserve">:</t>
    </r>
    <r>
      <rPr>
        <sz val="9"/>
        <rFont val="WenQuanYi Zen Hei"/>
        <family val="2"/>
      </rPr>
      <t xml:space="preserve">用户工况</t>
    </r>
    <r>
      <rPr>
        <sz val="9"/>
        <rFont val="宋体"/>
        <family val="0"/>
        <charset val="1"/>
      </rPr>
      <t xml:space="preserve">9.3</t>
    </r>
    <r>
      <rPr>
        <sz val="9"/>
        <rFont val="WenQuanYi Zen Hei"/>
        <family val="2"/>
      </rPr>
      <t xml:space="preserve">，国标工况</t>
    </r>
    <r>
      <rPr>
        <sz val="9"/>
        <rFont val="宋体"/>
        <family val="0"/>
        <charset val="1"/>
      </rPr>
      <t xml:space="preserve">8.0
</t>
    </r>
    <r>
      <rPr>
        <sz val="9"/>
        <color rgb="FF1F4E79"/>
        <rFont val="Arial"/>
        <family val="0"/>
        <charset val="1"/>
      </rPr>
      <t xml:space="preserve">Hệ số IPLV: điều kiện vận hành của người dùng 9.3, điều kiện tiêu chuẩn quốc gia 8.0
</t>
    </r>
    <r>
      <rPr>
        <sz val="9"/>
        <rFont val="WenQuanYi Zen Hei"/>
        <family val="2"/>
      </rPr>
      <t xml:space="preserve">蒸发器：压降</t>
    </r>
    <r>
      <rPr>
        <sz val="9"/>
        <rFont val="宋体"/>
        <family val="0"/>
        <charset val="1"/>
      </rPr>
      <t xml:space="preserve">74kPa</t>
    </r>
    <r>
      <rPr>
        <sz val="9"/>
        <rFont val="WenQuanYi Zen Hei"/>
        <family val="2"/>
      </rPr>
      <t xml:space="preserve">，承压</t>
    </r>
    <r>
      <rPr>
        <sz val="9"/>
        <rFont val="宋体"/>
        <family val="0"/>
        <charset val="1"/>
      </rPr>
      <t xml:space="preserve">1.0MPa
</t>
    </r>
    <r>
      <rPr>
        <sz val="9"/>
        <color rgb="FF1F4E79"/>
        <rFont val="Arial"/>
        <family val="0"/>
        <charset val="1"/>
      </rPr>
      <t xml:space="preserve">Thiết bị bay hơi: tổn thất áp suất 74kPa, chịu áp 1.0MPa
</t>
    </r>
    <r>
      <rPr>
        <sz val="9"/>
        <rFont val="WenQuanYi Zen Hei"/>
        <family val="2"/>
      </rPr>
      <t xml:space="preserve">冷凝器：压降</t>
    </r>
    <r>
      <rPr>
        <sz val="9"/>
        <rFont val="宋体"/>
        <family val="0"/>
        <charset val="1"/>
      </rPr>
      <t xml:space="preserve">76KPa</t>
    </r>
    <r>
      <rPr>
        <sz val="9"/>
        <rFont val="WenQuanYi Zen Hei"/>
        <family val="2"/>
      </rPr>
      <t xml:space="preserve">，承压</t>
    </r>
    <r>
      <rPr>
        <sz val="9"/>
        <rFont val="宋体"/>
        <family val="0"/>
        <charset val="1"/>
      </rPr>
      <t xml:space="preserve">1.0MPa
</t>
    </r>
    <r>
      <rPr>
        <sz val="9"/>
        <color rgb="FF1F4E79"/>
        <rFont val="Arial"/>
        <family val="0"/>
        <charset val="1"/>
      </rPr>
      <t xml:space="preserve">Thiết bị ngưng tụ: tổn thất áp suất 76KPa, chịu áp 1.0MPa
</t>
    </r>
    <r>
      <rPr>
        <sz val="9"/>
        <rFont val="WenQuanYi Zen Hei"/>
        <family val="2"/>
      </rPr>
      <t xml:space="preserve">输入电压：</t>
    </r>
    <r>
      <rPr>
        <sz val="9"/>
        <rFont val="宋体"/>
        <family val="0"/>
        <charset val="1"/>
      </rPr>
      <t xml:space="preserve">380V/50Hz
</t>
    </r>
    <r>
      <rPr>
        <sz val="9"/>
        <color rgb="FF1F4E79"/>
        <rFont val="Arial"/>
        <family val="0"/>
        <charset val="1"/>
      </rPr>
      <t xml:space="preserve">Điện áp đầu vào: 380V/50Hz
</t>
    </r>
    <r>
      <rPr>
        <sz val="9"/>
        <rFont val="WenQuanYi Zen Hei"/>
        <family val="2"/>
      </rPr>
      <t xml:space="preserve">采用环保冷媒
</t>
    </r>
    <r>
      <rPr>
        <sz val="9"/>
        <color rgb="FF1F4E79"/>
        <rFont val="Arial"/>
        <family val="0"/>
        <charset val="1"/>
      </rPr>
      <t xml:space="preserve">Sử dụng môi chất lạnh thân thiện môi trường
</t>
    </r>
    <r>
      <rPr>
        <sz val="9"/>
        <rFont val="宋体"/>
        <family val="0"/>
        <charset val="1"/>
      </rPr>
      <t xml:space="preserve">3.</t>
    </r>
    <r>
      <rPr>
        <sz val="9"/>
        <rFont val="WenQuanYi Zen Hei"/>
        <family val="2"/>
      </rPr>
      <t xml:space="preserve">含弹簧减震器                    
</t>
    </r>
    <r>
      <rPr>
        <sz val="9"/>
        <color rgb="FF1F4E79"/>
        <rFont val="Arial"/>
        <family val="0"/>
        <charset val="1"/>
      </rPr>
      <t xml:space="preserve">3. Bao gồm bộ giảm chấn lò xo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</si>
  <si>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台
</t>
    </r>
    <r>
      <rPr>
        <sz val="9"/>
        <color rgb="FF1F4E79"/>
        <rFont val="Arial"/>
        <family val="0"/>
        <charset val="1"/>
      </rPr>
      <t xml:space="preserve">Bộ</t>
    </r>
  </si>
  <si>
    <r>
      <rPr>
        <b val="true"/>
        <sz val="9"/>
        <color rgb="FFFF0000"/>
        <rFont val="WenQuanYi Zen Hei"/>
        <family val="2"/>
      </rPr>
      <t xml:space="preserve">利旧
</t>
    </r>
    <r>
      <rPr>
        <b val="true"/>
        <sz val="9"/>
        <color rgb="FF1F4E79"/>
        <rFont val="Arial"/>
        <family val="0"/>
        <charset val="1"/>
      </rPr>
      <t xml:space="preserve">Tận dụng thiết bị cũ</t>
    </r>
  </si>
  <si>
    <r>
      <rPr>
        <sz val="9"/>
        <rFont val="WenQuanYi Zen Hei"/>
        <family val="2"/>
      </rPr>
      <t xml:space="preserve">水冷磁悬浮变频离心式冷水机组
</t>
    </r>
    <r>
      <rPr>
        <sz val="9"/>
        <color rgb="FF1F4E79"/>
        <rFont val="Arial"/>
        <family val="0"/>
        <charset val="1"/>
      </rPr>
      <t xml:space="preserve">Cụm máy làm lạnh nước (chiller) ly tâm biến tần đệm từ giải nhiệt nước
</t>
    </r>
    <r>
      <rPr>
        <sz val="9"/>
        <rFont val="宋体"/>
        <family val="0"/>
        <charset val="1"/>
      </rPr>
      <t xml:space="preserve">CH-01</t>
    </r>
    <r>
      <rPr>
        <sz val="9"/>
        <rFont val="WenQuanYi Zen Hei"/>
        <family val="2"/>
      </rPr>
      <t xml:space="preserve">～</t>
    </r>
    <r>
      <rPr>
        <sz val="9"/>
        <rFont val="宋体"/>
        <family val="0"/>
        <charset val="1"/>
      </rPr>
      <t xml:space="preserve">02</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</si>
  <si>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水冷磁悬浮变频离心式冷水机组
</t>
    </r>
    <r>
      <rPr>
        <sz val="9"/>
        <color rgb="FF1F4E79"/>
        <rFont val="Arial"/>
        <family val="0"/>
        <charset val="1"/>
      </rPr>
      <t xml:space="preserve">1. Tên: Cụm máy làm lạnh nước (chiller) ly tâm biến tần đệm từ giải nhiệt nước
</t>
    </r>
    <r>
      <rPr>
        <sz val="9"/>
        <rFont val="宋体"/>
        <family val="0"/>
        <charset val="1"/>
      </rPr>
      <t xml:space="preserve">2.</t>
    </r>
    <r>
      <rPr>
        <sz val="9"/>
        <rFont val="WenQuanYi Zen Hei"/>
        <family val="2"/>
      </rPr>
      <t xml:space="preserve">编号</t>
    </r>
    <r>
      <rPr>
        <sz val="9"/>
        <rFont val="宋体"/>
        <family val="0"/>
        <charset val="1"/>
      </rPr>
      <t xml:space="preserve">:CH-01</t>
    </r>
    <r>
      <rPr>
        <sz val="9"/>
        <rFont val="WenQuanYi Zen Hei"/>
        <family val="2"/>
      </rPr>
      <t xml:space="preserve">～</t>
    </r>
    <r>
      <rPr>
        <sz val="9"/>
        <rFont val="宋体"/>
        <family val="0"/>
        <charset val="1"/>
      </rPr>
      <t xml:space="preserve">02
</t>
    </r>
    <r>
      <rPr>
        <sz val="9"/>
        <color rgb="FF1F4E79"/>
        <rFont val="Arial"/>
        <family val="0"/>
        <charset val="1"/>
      </rPr>
      <t xml:space="preserve">2. Mã hiệu: CH-01</t>
    </r>
    <r>
      <rPr>
        <sz val="9"/>
        <color rgb="FF1F4E79"/>
        <rFont val="WenQuanYi Zen Hei"/>
        <family val="2"/>
      </rPr>
      <t xml:space="preserve">～</t>
    </r>
    <r>
      <rPr>
        <sz val="9"/>
        <color rgb="FF1F4E79"/>
        <rFont val="Arial"/>
        <family val="0"/>
        <charset val="1"/>
      </rPr>
      <t xml:space="preserve">02
</t>
    </r>
    <r>
      <rPr>
        <sz val="9"/>
        <rFont val="WenQuanYi Zen Hei"/>
        <family val="2"/>
      </rPr>
      <t xml:space="preserve">制冷量</t>
    </r>
    <r>
      <rPr>
        <sz val="9"/>
        <rFont val="宋体"/>
        <family val="0"/>
        <charset val="1"/>
      </rPr>
      <t xml:space="preserve">:2648kW(753RT)
</t>
    </r>
    <r>
      <rPr>
        <sz val="9"/>
        <color rgb="FF1F4E79"/>
        <rFont val="Arial"/>
        <family val="0"/>
        <charset val="1"/>
      </rPr>
      <t xml:space="preserve">Công suất lạnh: 2648kW (753RT)
</t>
    </r>
    <r>
      <rPr>
        <sz val="9"/>
        <rFont val="WenQuanYi Zen Hei"/>
        <family val="2"/>
      </rPr>
      <t xml:space="preserve">功率</t>
    </r>
    <r>
      <rPr>
        <sz val="9"/>
        <rFont val="宋体"/>
        <family val="0"/>
        <charset val="1"/>
      </rPr>
      <t xml:space="preserve">:448.9kW
</t>
    </r>
    <r>
      <rPr>
        <sz val="9"/>
        <color rgb="FF1F4E79"/>
        <rFont val="Arial"/>
        <family val="0"/>
        <charset val="1"/>
      </rPr>
      <t xml:space="preserve">Công suất điện: 448.9kW
</t>
    </r>
    <r>
      <rPr>
        <sz val="9"/>
        <rFont val="WenQuanYi Zen Hei"/>
        <family val="2"/>
      </rPr>
      <t xml:space="preserve">冷冻水流量</t>
    </r>
    <r>
      <rPr>
        <sz val="9"/>
        <rFont val="宋体"/>
        <family val="0"/>
        <charset val="1"/>
      </rPr>
      <t xml:space="preserve">:454.68m3/h
</t>
    </r>
    <r>
      <rPr>
        <sz val="9"/>
        <color rgb="FF1F4E79"/>
        <rFont val="Arial"/>
        <family val="0"/>
        <charset val="1"/>
      </rPr>
      <t xml:space="preserve">Lưu lượng nước lạnh: 454.68m3/h
</t>
    </r>
    <r>
      <rPr>
        <sz val="9"/>
        <rFont val="WenQuanYi Zen Hei"/>
        <family val="2"/>
      </rPr>
      <t xml:space="preserve">冷却水流量</t>
    </r>
    <r>
      <rPr>
        <sz val="9"/>
        <rFont val="宋体"/>
        <family val="0"/>
        <charset val="1"/>
      </rPr>
      <t xml:space="preserve">:538.2m3/h
</t>
    </r>
    <r>
      <rPr>
        <sz val="9"/>
        <color rgb="FF1F4E79"/>
        <rFont val="Arial"/>
        <family val="0"/>
        <charset val="1"/>
      </rPr>
      <t xml:space="preserve">Lưu lượng nước giải nhiệt: 538.2m3/h
</t>
    </r>
    <r>
      <rPr>
        <sz val="9"/>
        <rFont val="WenQuanYi Zen Hei"/>
        <family val="2"/>
      </rPr>
      <t xml:space="preserve">冷冻水进出水温</t>
    </r>
    <r>
      <rPr>
        <sz val="9"/>
        <rFont val="宋体"/>
        <family val="0"/>
        <charset val="1"/>
      </rPr>
      <t xml:space="preserve">:12/7℃
</t>
    </r>
    <r>
      <rPr>
        <sz val="9"/>
        <color rgb="FF1F4E79"/>
        <rFont val="Arial"/>
        <family val="0"/>
        <charset val="1"/>
      </rPr>
      <t xml:space="preserve">Nhiệt độ nước lạnh vào/ra: 12/7℃
</t>
    </r>
    <r>
      <rPr>
        <sz val="9"/>
        <rFont val="WenQuanYi Zen Hei"/>
        <family val="2"/>
      </rPr>
      <t xml:space="preserve">冷却水进出水温</t>
    </r>
    <r>
      <rPr>
        <sz val="9"/>
        <rFont val="宋体"/>
        <family val="0"/>
        <charset val="1"/>
      </rPr>
      <t xml:space="preserve">:32/37℃
</t>
    </r>
    <r>
      <rPr>
        <sz val="9"/>
        <color rgb="FF1F4E79"/>
        <rFont val="Arial"/>
        <family val="0"/>
        <charset val="1"/>
      </rPr>
      <t xml:space="preserve">Nhiệt độ nước giải nhiệt vào/ra: 32/37℃
</t>
    </r>
    <r>
      <rPr>
        <sz val="9"/>
        <rFont val="宋体"/>
        <family val="0"/>
        <charset val="1"/>
      </rPr>
      <t xml:space="preserve">COP</t>
    </r>
    <r>
      <rPr>
        <sz val="9"/>
        <rFont val="WenQuanYi Zen Hei"/>
        <family val="2"/>
      </rPr>
      <t xml:space="preserve">值</t>
    </r>
    <r>
      <rPr>
        <sz val="9"/>
        <rFont val="宋体"/>
        <family val="0"/>
        <charset val="1"/>
      </rPr>
      <t xml:space="preserve">:</t>
    </r>
    <r>
      <rPr>
        <sz val="9"/>
        <rFont val="WenQuanYi Zen Hei"/>
        <family val="2"/>
      </rPr>
      <t xml:space="preserve">用户工况≥</t>
    </r>
    <r>
      <rPr>
        <sz val="9"/>
        <rFont val="宋体"/>
        <family val="0"/>
        <charset val="1"/>
      </rPr>
      <t xml:space="preserve">5.8</t>
    </r>
    <r>
      <rPr>
        <sz val="9"/>
        <rFont val="WenQuanYi Zen Hei"/>
        <family val="2"/>
      </rPr>
      <t xml:space="preserve">，国标工况≥</t>
    </r>
    <r>
      <rPr>
        <sz val="9"/>
        <rFont val="宋体"/>
        <family val="0"/>
        <charset val="1"/>
      </rPr>
      <t xml:space="preserve">6.4
</t>
    </r>
    <r>
      <rPr>
        <sz val="9"/>
        <color rgb="FF1F4E79"/>
        <rFont val="Arial"/>
        <family val="0"/>
        <charset val="1"/>
      </rPr>
      <t xml:space="preserve">Hệ số COP: điều kiện vận hành của người dùng ≥5.8, điều kiện tiêu chuẩn quốc gia ≥6.4
</t>
    </r>
    <r>
      <rPr>
        <sz val="9"/>
        <rFont val="宋体"/>
        <family val="0"/>
        <charset val="1"/>
      </rPr>
      <t xml:space="preserve">IPLV</t>
    </r>
    <r>
      <rPr>
        <sz val="9"/>
        <rFont val="WenQuanYi Zen Hei"/>
        <family val="2"/>
      </rPr>
      <t xml:space="preserve">值</t>
    </r>
    <r>
      <rPr>
        <sz val="9"/>
        <rFont val="宋体"/>
        <family val="0"/>
        <charset val="1"/>
      </rPr>
      <t xml:space="preserve">:</t>
    </r>
    <r>
      <rPr>
        <sz val="9"/>
        <rFont val="WenQuanYi Zen Hei"/>
        <family val="2"/>
      </rPr>
      <t xml:space="preserve">用户工况≥</t>
    </r>
    <r>
      <rPr>
        <sz val="9"/>
        <rFont val="宋体"/>
        <family val="0"/>
        <charset val="1"/>
      </rPr>
      <t xml:space="preserve">10.0</t>
    </r>
    <r>
      <rPr>
        <sz val="9"/>
        <rFont val="WenQuanYi Zen Hei"/>
        <family val="2"/>
      </rPr>
      <t xml:space="preserve">，国标工况≥</t>
    </r>
    <r>
      <rPr>
        <sz val="9"/>
        <rFont val="宋体"/>
        <family val="0"/>
        <charset val="1"/>
      </rPr>
      <t xml:space="preserve">9.0
</t>
    </r>
    <r>
      <rPr>
        <sz val="9"/>
        <color rgb="FF1F4E79"/>
        <rFont val="Arial"/>
        <family val="0"/>
        <charset val="1"/>
      </rPr>
      <t xml:space="preserve">Hệ số IPLV: điều kiện vận hành của người dùng ≥10.0, điều kiện tiêu chuẩn quốc gia ≥9.0
</t>
    </r>
    <r>
      <rPr>
        <sz val="9"/>
        <rFont val="WenQuanYi Zen Hei"/>
        <family val="2"/>
      </rPr>
      <t xml:space="preserve">蒸发器：压降≤</t>
    </r>
    <r>
      <rPr>
        <sz val="9"/>
        <rFont val="宋体"/>
        <family val="0"/>
        <charset val="1"/>
      </rPr>
      <t xml:space="preserve">75kPa</t>
    </r>
    <r>
      <rPr>
        <sz val="9"/>
        <rFont val="WenQuanYi Zen Hei"/>
        <family val="2"/>
      </rPr>
      <t xml:space="preserve">，承压</t>
    </r>
    <r>
      <rPr>
        <sz val="9"/>
        <rFont val="宋体"/>
        <family val="0"/>
        <charset val="1"/>
      </rPr>
      <t xml:space="preserve">1.0MPa
</t>
    </r>
    <r>
      <rPr>
        <sz val="9"/>
        <color rgb="FF1F4E79"/>
        <rFont val="Arial"/>
        <family val="0"/>
        <charset val="1"/>
      </rPr>
      <t xml:space="preserve">Thiết bị bay hơi: tổn thất áp suất ≤75kPa, chịu áp 1.0MPa
</t>
    </r>
    <r>
      <rPr>
        <sz val="9"/>
        <rFont val="WenQuanYi Zen Hei"/>
        <family val="2"/>
      </rPr>
      <t xml:space="preserve">冷凝器：压降≤</t>
    </r>
    <r>
      <rPr>
        <sz val="9"/>
        <rFont val="宋体"/>
        <family val="0"/>
        <charset val="1"/>
      </rPr>
      <t xml:space="preserve">60KPa</t>
    </r>
    <r>
      <rPr>
        <sz val="9"/>
        <rFont val="WenQuanYi Zen Hei"/>
        <family val="2"/>
      </rPr>
      <t xml:space="preserve">，承压</t>
    </r>
    <r>
      <rPr>
        <sz val="9"/>
        <rFont val="宋体"/>
        <family val="0"/>
        <charset val="1"/>
      </rPr>
      <t xml:space="preserve">1.0MPa
</t>
    </r>
    <r>
      <rPr>
        <sz val="9"/>
        <color rgb="FF1F4E79"/>
        <rFont val="Arial"/>
        <family val="0"/>
        <charset val="1"/>
      </rPr>
      <t xml:space="preserve">Thiết bị ngưng tụ: tổn thất áp suất ≤60KPa, chịu áp 1.0MPa
</t>
    </r>
    <r>
      <rPr>
        <sz val="9"/>
        <rFont val="WenQuanYi Zen Hei"/>
        <family val="2"/>
      </rPr>
      <t xml:space="preserve">输入电压：</t>
    </r>
    <r>
      <rPr>
        <sz val="9"/>
        <rFont val="宋体"/>
        <family val="0"/>
        <charset val="1"/>
      </rPr>
      <t xml:space="preserve">380V/50Hz
</t>
    </r>
    <r>
      <rPr>
        <sz val="9"/>
        <color rgb="FF1F4E79"/>
        <rFont val="Arial"/>
        <family val="0"/>
        <charset val="1"/>
      </rPr>
      <t xml:space="preserve">Điện áp đầu vào: 380V/50Hz
</t>
    </r>
    <r>
      <rPr>
        <sz val="9"/>
        <rFont val="WenQuanYi Zen Hei"/>
        <family val="2"/>
      </rPr>
      <t xml:space="preserve">采用环保冷媒
</t>
    </r>
    <r>
      <rPr>
        <sz val="9"/>
        <color rgb="FF1F4E79"/>
        <rFont val="Arial"/>
        <family val="0"/>
        <charset val="1"/>
      </rPr>
      <t xml:space="preserve">Sử dụng môi chất lạnh thân thiện môi trường
</t>
    </r>
    <r>
      <rPr>
        <sz val="9"/>
        <rFont val="宋体"/>
        <family val="0"/>
        <charset val="1"/>
      </rPr>
      <t xml:space="preserve">3.</t>
    </r>
    <r>
      <rPr>
        <sz val="9"/>
        <rFont val="WenQuanYi Zen Hei"/>
        <family val="2"/>
      </rPr>
      <t xml:space="preserve">含弹簧减震器                    
</t>
    </r>
    <r>
      <rPr>
        <sz val="9"/>
        <color rgb="FF1F4E79"/>
        <rFont val="Arial"/>
        <family val="0"/>
        <charset val="1"/>
      </rPr>
      <t xml:space="preserve">3. Bao gồm bộ giảm chấn lò xo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</si>
  <si>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麦克维尔
</t>
    </r>
    <r>
      <rPr>
        <sz val="9"/>
        <color rgb="FF1F4E79"/>
        <rFont val="Arial"/>
        <family val="0"/>
        <charset val="1"/>
      </rPr>
      <t xml:space="preserve">McQuay</t>
    </r>
  </si>
  <si>
    <r>
      <rPr>
        <sz val="9"/>
        <rFont val="WenQuanYi Zen Hei"/>
        <family val="2"/>
      </rPr>
      <t xml:space="preserve">冷冻水泵
</t>
    </r>
    <r>
      <rPr>
        <sz val="9"/>
        <color rgb="FF1F4E79"/>
        <rFont val="Arial"/>
        <family val="0"/>
        <charset val="1"/>
      </rPr>
      <t xml:space="preserve">Bơm nước lạnh
</t>
    </r>
    <r>
      <rPr>
        <sz val="9"/>
        <rFont val="宋体"/>
        <family val="0"/>
        <charset val="1"/>
      </rPr>
      <t xml:space="preserve">CHWP-01</t>
    </r>
    <r>
      <rPr>
        <sz val="9"/>
        <rFont val="WenQuanYi Zen Hei"/>
        <family val="2"/>
      </rPr>
      <t xml:space="preserve">～</t>
    </r>
    <r>
      <rPr>
        <sz val="9"/>
        <rFont val="宋体"/>
        <family val="0"/>
        <charset val="1"/>
      </rPr>
      <t xml:space="preserve">04</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</si>
  <si>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冷冻水泵
</t>
    </r>
    <r>
      <rPr>
        <sz val="9"/>
        <color rgb="FF1F4E79"/>
        <rFont val="Arial"/>
        <family val="0"/>
        <charset val="1"/>
      </rPr>
      <t xml:space="preserve">1. Tên: Bơm nước lạnh
</t>
    </r>
    <r>
      <rPr>
        <sz val="9"/>
        <rFont val="宋体"/>
        <family val="0"/>
        <charset val="1"/>
      </rPr>
      <t xml:space="preserve">2.</t>
    </r>
    <r>
      <rPr>
        <sz val="9"/>
        <rFont val="WenQuanYi Zen Hei"/>
        <family val="2"/>
      </rPr>
      <t xml:space="preserve">编号</t>
    </r>
    <r>
      <rPr>
        <sz val="9"/>
        <rFont val="宋体"/>
        <family val="0"/>
        <charset val="1"/>
      </rPr>
      <t xml:space="preserve">:CHWP-01</t>
    </r>
    <r>
      <rPr>
        <sz val="9"/>
        <rFont val="WenQuanYi Zen Hei"/>
        <family val="2"/>
      </rPr>
      <t xml:space="preserve">～</t>
    </r>
    <r>
      <rPr>
        <sz val="9"/>
        <rFont val="宋体"/>
        <family val="0"/>
        <charset val="1"/>
      </rPr>
      <t xml:space="preserve">04
</t>
    </r>
    <r>
      <rPr>
        <sz val="9"/>
        <color rgb="FF1F4E79"/>
        <rFont val="Arial"/>
        <family val="0"/>
        <charset val="1"/>
      </rPr>
      <t xml:space="preserve">2. Mã hiệu: CHWP-01</t>
    </r>
    <r>
      <rPr>
        <sz val="9"/>
        <color rgb="FF1F4E79"/>
        <rFont val="WenQuanYi Zen Hei"/>
        <family val="2"/>
      </rPr>
      <t xml:space="preserve">～</t>
    </r>
    <r>
      <rPr>
        <sz val="9"/>
        <color rgb="FF1F4E79"/>
        <rFont val="Arial"/>
        <family val="0"/>
        <charset val="1"/>
      </rPr>
      <t xml:space="preserve">04
</t>
    </r>
    <r>
      <rPr>
        <sz val="9"/>
        <rFont val="WenQuanYi Zen Hei"/>
        <family val="2"/>
      </rPr>
      <t xml:space="preserve">卧式离心泵
</t>
    </r>
    <r>
      <rPr>
        <sz val="9"/>
        <color rgb="FF1F4E79"/>
        <rFont val="Arial"/>
        <family val="0"/>
        <charset val="1"/>
      </rPr>
      <t xml:space="preserve">Bơm ly tâm trục ngang
</t>
    </r>
    <r>
      <rPr>
        <sz val="9"/>
        <rFont val="WenQuanYi Zen Hei"/>
        <family val="2"/>
      </rPr>
      <t xml:space="preserve">流量</t>
    </r>
    <r>
      <rPr>
        <sz val="9"/>
        <rFont val="宋体"/>
        <family val="0"/>
        <charset val="1"/>
      </rPr>
      <t xml:space="preserve">:500m3/h</t>
    </r>
    <r>
      <rPr>
        <sz val="9"/>
        <rFont val="WenQuanYi Zen Hei"/>
        <family val="2"/>
      </rPr>
      <t xml:space="preserve">，扬程</t>
    </r>
    <r>
      <rPr>
        <sz val="9"/>
        <rFont val="宋体"/>
        <family val="0"/>
        <charset val="1"/>
      </rPr>
      <t xml:space="preserve">:40mH2O</t>
    </r>
    <r>
      <rPr>
        <sz val="9"/>
        <rFont val="WenQuanYi Zen Hei"/>
        <family val="2"/>
      </rPr>
      <t xml:space="preserve">，功率</t>
    </r>
    <r>
      <rPr>
        <sz val="9"/>
        <rFont val="宋体"/>
        <family val="0"/>
        <charset val="1"/>
      </rPr>
      <t xml:space="preserve">:75kW
</t>
    </r>
    <r>
      <rPr>
        <sz val="9"/>
        <color rgb="FF1F4E79"/>
        <rFont val="Arial"/>
        <family val="0"/>
        <charset val="1"/>
      </rPr>
      <t xml:space="preserve">Lưu lượng: 500m3/h, cột áp: 40mH2O, công suất: 75kW
</t>
    </r>
    <r>
      <rPr>
        <sz val="9"/>
        <rFont val="WenQuanYi Zen Hei"/>
        <family val="2"/>
      </rPr>
      <t xml:space="preserve">效率≥</t>
    </r>
    <r>
      <rPr>
        <sz val="9"/>
        <rFont val="宋体"/>
        <family val="0"/>
        <charset val="1"/>
      </rPr>
      <t xml:space="preserve">80%
</t>
    </r>
    <r>
      <rPr>
        <sz val="9"/>
        <color rgb="FF1F4E79"/>
        <rFont val="Arial"/>
        <family val="0"/>
        <charset val="1"/>
      </rPr>
      <t xml:space="preserve">Hiệu suất ≥80%
</t>
    </r>
    <r>
      <rPr>
        <sz val="9"/>
        <rFont val="WenQuanYi Zen Hei"/>
        <family val="2"/>
      </rPr>
      <t xml:space="preserve">输入电压：</t>
    </r>
    <r>
      <rPr>
        <sz val="9"/>
        <rFont val="宋体"/>
        <family val="0"/>
        <charset val="1"/>
      </rPr>
      <t xml:space="preserve">380V/50Hz
</t>
    </r>
    <r>
      <rPr>
        <sz val="9"/>
        <color rgb="FF1F4E79"/>
        <rFont val="Arial"/>
        <family val="0"/>
        <charset val="1"/>
      </rPr>
      <t xml:space="preserve">Điện áp đầu vào: 380V/50Hz
</t>
    </r>
    <r>
      <rPr>
        <sz val="9"/>
        <rFont val="宋体"/>
        <family val="0"/>
        <charset val="1"/>
      </rPr>
      <t xml:space="preserve">3.</t>
    </r>
    <r>
      <rPr>
        <sz val="9"/>
        <rFont val="WenQuanYi Zen Hei"/>
        <family val="2"/>
      </rPr>
      <t xml:space="preserve">电机：变频电机
</t>
    </r>
    <r>
      <rPr>
        <sz val="9"/>
        <color rgb="FF1F4E79"/>
        <rFont val="Arial"/>
        <family val="0"/>
        <charset val="1"/>
      </rPr>
      <t xml:space="preserve">3. Động cơ: động cơ biến tần
</t>
    </r>
    <r>
      <rPr>
        <sz val="9"/>
        <rFont val="宋体"/>
        <family val="0"/>
        <charset val="1"/>
      </rPr>
      <t xml:space="preserve">4.</t>
    </r>
    <r>
      <rPr>
        <sz val="9"/>
        <rFont val="WenQuanYi Zen Hei"/>
        <family val="2"/>
      </rPr>
      <t xml:space="preserve">含弹簧减震器
</t>
    </r>
    <r>
      <rPr>
        <sz val="9"/>
        <color rgb="FF1F4E79"/>
        <rFont val="Arial"/>
        <family val="0"/>
        <charset val="1"/>
      </rPr>
      <t xml:space="preserve">4. Bao gồm bộ giảm chấn lò xo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</si>
  <si>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Ebara,</t>
    </r>
    <r>
      <rPr>
        <sz val="9"/>
        <rFont val="WenQuanYi Zen Hei"/>
        <family val="2"/>
      </rPr>
      <t xml:space="preserve">南方、凯泉、白云
</t>
    </r>
    <r>
      <rPr>
        <sz val="9"/>
        <color rgb="FF1F4E79"/>
        <rFont val="Arial"/>
        <family val="0"/>
        <charset val="1"/>
      </rPr>
      <t xml:space="preserve">Ebara, Nanfang (CNP), Kaiquan, Baiyun</t>
    </r>
  </si>
  <si>
    <r>
      <rPr>
        <sz val="9"/>
        <rFont val="WenQuanYi Zen Hei"/>
        <family val="2"/>
      </rPr>
      <t xml:space="preserve">冷却水泵
</t>
    </r>
    <r>
      <rPr>
        <sz val="9"/>
        <color rgb="FF1F4E79"/>
        <rFont val="Arial"/>
        <family val="0"/>
        <charset val="1"/>
      </rPr>
      <t xml:space="preserve">Bơm nước giải nhiệt
</t>
    </r>
    <r>
      <rPr>
        <sz val="9"/>
        <rFont val="宋体"/>
        <family val="0"/>
        <charset val="1"/>
      </rPr>
      <t xml:space="preserve">CWP-01</t>
    </r>
    <r>
      <rPr>
        <sz val="9"/>
        <rFont val="WenQuanYi Zen Hei"/>
        <family val="2"/>
      </rPr>
      <t xml:space="preserve">～</t>
    </r>
    <r>
      <rPr>
        <sz val="9"/>
        <rFont val="宋体"/>
        <family val="0"/>
        <charset val="1"/>
      </rPr>
      <t xml:space="preserve">04</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</si>
  <si>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冷却水泵
</t>
    </r>
    <r>
      <rPr>
        <sz val="9"/>
        <color rgb="FF1F4E79"/>
        <rFont val="Arial"/>
        <family val="0"/>
        <charset val="1"/>
      </rPr>
      <t xml:space="preserve">1. Tên: Bơm nước giải nhiệt
</t>
    </r>
    <r>
      <rPr>
        <sz val="9"/>
        <rFont val="宋体"/>
        <family val="0"/>
        <charset val="1"/>
      </rPr>
      <t xml:space="preserve">2.</t>
    </r>
    <r>
      <rPr>
        <sz val="9"/>
        <rFont val="WenQuanYi Zen Hei"/>
        <family val="2"/>
      </rPr>
      <t xml:space="preserve">编号</t>
    </r>
    <r>
      <rPr>
        <sz val="9"/>
        <rFont val="宋体"/>
        <family val="0"/>
        <charset val="1"/>
      </rPr>
      <t xml:space="preserve">:CWP-01</t>
    </r>
    <r>
      <rPr>
        <sz val="9"/>
        <rFont val="WenQuanYi Zen Hei"/>
        <family val="2"/>
      </rPr>
      <t xml:space="preserve">～</t>
    </r>
    <r>
      <rPr>
        <sz val="9"/>
        <rFont val="宋体"/>
        <family val="0"/>
        <charset val="1"/>
      </rPr>
      <t xml:space="preserve">04
</t>
    </r>
    <r>
      <rPr>
        <sz val="9"/>
        <color rgb="FF1F4E79"/>
        <rFont val="Arial"/>
        <family val="0"/>
        <charset val="1"/>
      </rPr>
      <t xml:space="preserve">2. Mã hiệu: CWP-01</t>
    </r>
    <r>
      <rPr>
        <sz val="9"/>
        <color rgb="FF1F4E79"/>
        <rFont val="WenQuanYi Zen Hei"/>
        <family val="2"/>
      </rPr>
      <t xml:space="preserve">～</t>
    </r>
    <r>
      <rPr>
        <sz val="9"/>
        <color rgb="FF1F4E79"/>
        <rFont val="Arial"/>
        <family val="0"/>
        <charset val="1"/>
      </rPr>
      <t xml:space="preserve">04
</t>
    </r>
    <r>
      <rPr>
        <sz val="9"/>
        <rFont val="WenQuanYi Zen Hei"/>
        <family val="2"/>
      </rPr>
      <t xml:space="preserve">立式离心泵
</t>
    </r>
    <r>
      <rPr>
        <sz val="9"/>
        <color rgb="FF1F4E79"/>
        <rFont val="Arial"/>
        <family val="0"/>
        <charset val="1"/>
      </rPr>
      <t xml:space="preserve">Bơm ly tâm trục đứng
</t>
    </r>
    <r>
      <rPr>
        <sz val="9"/>
        <rFont val="WenQuanYi Zen Hei"/>
        <family val="2"/>
      </rPr>
      <t xml:space="preserve">流量</t>
    </r>
    <r>
      <rPr>
        <sz val="9"/>
        <rFont val="宋体"/>
        <family val="0"/>
        <charset val="1"/>
      </rPr>
      <t xml:space="preserve">:600m3/h</t>
    </r>
    <r>
      <rPr>
        <sz val="9"/>
        <rFont val="WenQuanYi Zen Hei"/>
        <family val="2"/>
      </rPr>
      <t xml:space="preserve">，扬程</t>
    </r>
    <r>
      <rPr>
        <sz val="9"/>
        <rFont val="宋体"/>
        <family val="0"/>
        <charset val="1"/>
      </rPr>
      <t xml:space="preserve">:24mH2O</t>
    </r>
    <r>
      <rPr>
        <sz val="9"/>
        <rFont val="WenQuanYi Zen Hei"/>
        <family val="2"/>
      </rPr>
      <t xml:space="preserve">，功率</t>
    </r>
    <r>
      <rPr>
        <sz val="9"/>
        <rFont val="宋体"/>
        <family val="0"/>
        <charset val="1"/>
      </rPr>
      <t xml:space="preserve">:55kW
</t>
    </r>
    <r>
      <rPr>
        <sz val="9"/>
        <color rgb="FF1F4E79"/>
        <rFont val="Arial"/>
        <family val="0"/>
        <charset val="1"/>
      </rPr>
      <t xml:space="preserve">Lưu lượng: 600m3/h, cột áp: 24mH2O, công suất: 55kW
</t>
    </r>
    <r>
      <rPr>
        <sz val="9"/>
        <rFont val="WenQuanYi Zen Hei"/>
        <family val="2"/>
      </rPr>
      <t xml:space="preserve">效率≥</t>
    </r>
    <r>
      <rPr>
        <sz val="9"/>
        <rFont val="宋体"/>
        <family val="0"/>
        <charset val="1"/>
      </rPr>
      <t xml:space="preserve">80%
</t>
    </r>
    <r>
      <rPr>
        <sz val="9"/>
        <color rgb="FF1F4E79"/>
        <rFont val="Arial"/>
        <family val="0"/>
        <charset val="1"/>
      </rPr>
      <t xml:space="preserve">Hiệu suất ≥80%
</t>
    </r>
    <r>
      <rPr>
        <sz val="9"/>
        <rFont val="WenQuanYi Zen Hei"/>
        <family val="2"/>
      </rPr>
      <t xml:space="preserve">输入电压：</t>
    </r>
    <r>
      <rPr>
        <sz val="9"/>
        <rFont val="宋体"/>
        <family val="0"/>
        <charset val="1"/>
      </rPr>
      <t xml:space="preserve">380V/50Hz
</t>
    </r>
    <r>
      <rPr>
        <sz val="9"/>
        <color rgb="FF1F4E79"/>
        <rFont val="Arial"/>
        <family val="0"/>
        <charset val="1"/>
      </rPr>
      <t xml:space="preserve">Điện áp đầu vào: 380V/50Hz
</t>
    </r>
    <r>
      <rPr>
        <sz val="9"/>
        <rFont val="宋体"/>
        <family val="0"/>
        <charset val="1"/>
      </rPr>
      <t xml:space="preserve">3.</t>
    </r>
    <r>
      <rPr>
        <sz val="9"/>
        <rFont val="WenQuanYi Zen Hei"/>
        <family val="2"/>
      </rPr>
      <t xml:space="preserve">电机：变频电机
</t>
    </r>
    <r>
      <rPr>
        <sz val="9"/>
        <color rgb="FF1F4E79"/>
        <rFont val="Arial"/>
        <family val="0"/>
        <charset val="1"/>
      </rPr>
      <t xml:space="preserve">3. Động cơ: động cơ biến tần
</t>
    </r>
    <r>
      <rPr>
        <sz val="9"/>
        <rFont val="宋体"/>
        <family val="0"/>
        <charset val="1"/>
      </rPr>
      <t xml:space="preserve">4.</t>
    </r>
    <r>
      <rPr>
        <sz val="9"/>
        <rFont val="WenQuanYi Zen Hei"/>
        <family val="2"/>
      </rPr>
      <t xml:space="preserve">含弹簧减震器
</t>
    </r>
    <r>
      <rPr>
        <sz val="9"/>
        <color rgb="FF1F4E79"/>
        <rFont val="Arial"/>
        <family val="0"/>
        <charset val="1"/>
      </rPr>
      <t xml:space="preserve">4. Bao gồm bộ giảm chấn lò xo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</si>
  <si>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低噪横流式方形冷却塔
</t>
    </r>
    <r>
      <rPr>
        <sz val="9"/>
        <color rgb="FF1F4E79"/>
        <rFont val="Arial"/>
        <family val="0"/>
        <charset val="1"/>
      </rPr>
      <t xml:space="preserve">Tháp giải nhiệt vuông kiểu dòng ngang độ ồn thấp
</t>
    </r>
    <r>
      <rPr>
        <sz val="9"/>
        <rFont val="宋体"/>
        <family val="0"/>
        <charset val="1"/>
      </rPr>
      <t xml:space="preserve">CT-01</t>
    </r>
    <r>
      <rPr>
        <sz val="9"/>
        <rFont val="WenQuanYi Zen Hei"/>
        <family val="2"/>
      </rPr>
      <t xml:space="preserve">～</t>
    </r>
    <r>
      <rPr>
        <sz val="9"/>
        <rFont val="宋体"/>
        <family val="0"/>
        <charset val="1"/>
      </rPr>
      <t xml:space="preserve">03</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</si>
  <si>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低噪横流式方形冷却塔
</t>
    </r>
    <r>
      <rPr>
        <sz val="9"/>
        <color rgb="FF1F4E79"/>
        <rFont val="Arial"/>
        <family val="0"/>
        <charset val="1"/>
      </rPr>
      <t xml:space="preserve">1. Tên: Tháp giải nhiệt vuông kiểu dòng ngang độ ồn thấp
</t>
    </r>
    <r>
      <rPr>
        <sz val="9"/>
        <rFont val="宋体"/>
        <family val="0"/>
        <charset val="1"/>
      </rPr>
      <t xml:space="preserve">2.</t>
    </r>
    <r>
      <rPr>
        <sz val="9"/>
        <rFont val="WenQuanYi Zen Hei"/>
        <family val="2"/>
      </rPr>
      <t xml:space="preserve">编号</t>
    </r>
    <r>
      <rPr>
        <sz val="9"/>
        <rFont val="宋体"/>
        <family val="0"/>
        <charset val="1"/>
      </rPr>
      <t xml:space="preserve">:CT-01</t>
    </r>
    <r>
      <rPr>
        <sz val="9"/>
        <rFont val="WenQuanYi Zen Hei"/>
        <family val="2"/>
      </rPr>
      <t xml:space="preserve">～</t>
    </r>
    <r>
      <rPr>
        <sz val="9"/>
        <rFont val="宋体"/>
        <family val="0"/>
        <charset val="1"/>
      </rPr>
      <t xml:space="preserve">03
</t>
    </r>
    <r>
      <rPr>
        <sz val="9"/>
        <color rgb="FF1F4E79"/>
        <rFont val="Arial"/>
        <family val="0"/>
        <charset val="1"/>
      </rPr>
      <t xml:space="preserve">2. Mã hiệu: CT-01</t>
    </r>
    <r>
      <rPr>
        <sz val="9"/>
        <color rgb="FF1F4E79"/>
        <rFont val="WenQuanYi Zen Hei"/>
        <family val="2"/>
      </rPr>
      <t xml:space="preserve">～</t>
    </r>
    <r>
      <rPr>
        <sz val="9"/>
        <color rgb="FF1F4E79"/>
        <rFont val="Arial"/>
        <family val="0"/>
        <charset val="1"/>
      </rPr>
      <t xml:space="preserve">03
</t>
    </r>
    <r>
      <rPr>
        <sz val="9"/>
        <rFont val="WenQuanYi Zen Hei"/>
        <family val="2"/>
      </rPr>
      <t xml:space="preserve">流量</t>
    </r>
    <r>
      <rPr>
        <sz val="9"/>
        <rFont val="宋体"/>
        <family val="0"/>
        <charset val="1"/>
      </rPr>
      <t xml:space="preserve">:900m3/h</t>
    </r>
    <r>
      <rPr>
        <sz val="9"/>
        <rFont val="WenQuanYi Zen Hei"/>
        <family val="2"/>
      </rPr>
      <t xml:space="preserve">，进出水温度</t>
    </r>
    <r>
      <rPr>
        <sz val="9"/>
        <rFont val="宋体"/>
        <family val="0"/>
        <charset val="1"/>
      </rPr>
      <t xml:space="preserve">:37/32℃</t>
    </r>
    <r>
      <rPr>
        <sz val="9"/>
        <rFont val="WenQuanYi Zen Hei"/>
        <family val="2"/>
      </rPr>
      <t xml:space="preserve">，湿球温度</t>
    </r>
    <r>
      <rPr>
        <sz val="9"/>
        <rFont val="宋体"/>
        <family val="0"/>
        <charset val="1"/>
      </rPr>
      <t xml:space="preserve">:28℃</t>
    </r>
    <r>
      <rPr>
        <sz val="9"/>
        <rFont val="WenQuanYi Zen Hei"/>
        <family val="2"/>
      </rPr>
      <t xml:space="preserve">，功率</t>
    </r>
    <r>
      <rPr>
        <sz val="9"/>
        <rFont val="宋体"/>
        <family val="0"/>
        <charset val="1"/>
      </rPr>
      <t xml:space="preserve">:15kW*2
</t>
    </r>
    <r>
      <rPr>
        <sz val="9"/>
        <color rgb="FF1F4E79"/>
        <rFont val="Arial"/>
        <family val="0"/>
        <charset val="1"/>
      </rPr>
      <t xml:space="preserve">Lưu lượng: 900m3/h, nhiệt độ nước vào/ra: 37/32℃, nhiệt độ bầu ướt: 28℃, công suất: 15kW*2
</t>
    </r>
    <r>
      <rPr>
        <sz val="9"/>
        <rFont val="WenQuanYi Zen Hei"/>
        <family val="2"/>
      </rPr>
      <t xml:space="preserve">输入电压：</t>
    </r>
    <r>
      <rPr>
        <sz val="9"/>
        <rFont val="宋体"/>
        <family val="0"/>
        <charset val="1"/>
      </rPr>
      <t xml:space="preserve">380V/50Hz
</t>
    </r>
    <r>
      <rPr>
        <sz val="9"/>
        <color rgb="FF1F4E79"/>
        <rFont val="Arial"/>
        <family val="0"/>
        <charset val="1"/>
      </rPr>
      <t xml:space="preserve">Điện áp đầu vào: 380V/50Hz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玻璃钢
</t>
    </r>
    <r>
      <rPr>
        <sz val="9"/>
        <color rgb="FF1F4E79"/>
        <rFont val="Arial"/>
        <family val="0"/>
        <charset val="1"/>
      </rPr>
      <t xml:space="preserve">3. Vật liệu: nhựa composite cốt sợi thủy tinh (FRP)
</t>
    </r>
    <r>
      <rPr>
        <sz val="9"/>
        <rFont val="宋体"/>
        <family val="0"/>
        <charset val="1"/>
      </rPr>
      <t xml:space="preserve">4.</t>
    </r>
    <r>
      <rPr>
        <sz val="9"/>
        <rFont val="WenQuanYi Zen Hei"/>
        <family val="2"/>
      </rPr>
      <t xml:space="preserve">电机</t>
    </r>
    <r>
      <rPr>
        <sz val="9"/>
        <rFont val="宋体"/>
        <family val="0"/>
        <charset val="1"/>
      </rPr>
      <t xml:space="preserve">:</t>
    </r>
    <r>
      <rPr>
        <sz val="9"/>
        <rFont val="WenQuanYi Zen Hei"/>
        <family val="2"/>
      </rPr>
      <t xml:space="preserve">变频电机
</t>
    </r>
    <r>
      <rPr>
        <sz val="9"/>
        <color rgb="FF1F4E79"/>
        <rFont val="Arial"/>
        <family val="0"/>
        <charset val="1"/>
      </rPr>
      <t xml:space="preserve">4. Động cơ: động cơ biến tần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</si>
  <si>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良机、洲菱
</t>
    </r>
    <r>
      <rPr>
        <sz val="9"/>
        <color rgb="FF1F4E79"/>
        <rFont val="Arial"/>
        <family val="0"/>
        <charset val="1"/>
      </rPr>
      <t xml:space="preserve">Liangchi, Zhouling</t>
    </r>
  </si>
  <si>
    <r>
      <rPr>
        <sz val="9"/>
        <rFont val="WenQuanYi Zen Hei"/>
        <family val="2"/>
      </rPr>
      <t xml:space="preserve">低噪横流式方形冷却塔
</t>
    </r>
    <r>
      <rPr>
        <sz val="9"/>
        <color rgb="FF1F4E79"/>
        <rFont val="Arial"/>
        <family val="0"/>
        <charset val="1"/>
      </rPr>
      <t xml:space="preserve">Tháp giải nhiệt vuông kiểu dòng ngang độ ồn thấp</t>
    </r>
  </si>
  <si>
    <r>
      <rPr>
        <sz val="9"/>
        <color rgb="FFFF0000"/>
        <rFont val="WenQuanYi Zen Hei"/>
        <family val="2"/>
      </rPr>
      <t xml:space="preserve">利旧，拆装及搬运（约</t>
    </r>
    <r>
      <rPr>
        <sz val="9"/>
        <color rgb="FFFF0000"/>
        <rFont val="宋体"/>
        <family val="0"/>
        <charset val="1"/>
      </rPr>
      <t xml:space="preserve">30</t>
    </r>
    <r>
      <rPr>
        <sz val="9"/>
        <color rgb="FFFF0000"/>
        <rFont val="WenQuanYi Zen Hei"/>
        <family val="2"/>
      </rPr>
      <t xml:space="preserve">公里）
</t>
    </r>
    <r>
      <rPr>
        <sz val="9"/>
        <color rgb="FF1F4E79"/>
        <rFont val="Arial"/>
        <family val="0"/>
        <charset val="1"/>
      </rPr>
      <t xml:space="preserve">Tận dụng thiết bị cũ, tháo lắp và vận chuyển (khoảng 30 km)</t>
    </r>
  </si>
  <si>
    <r>
      <rPr>
        <sz val="9"/>
        <rFont val="WenQuanYi Zen Hei"/>
        <family val="2"/>
      </rPr>
      <t xml:space="preserve">自动在线清洗装置 
</t>
    </r>
    <r>
      <rPr>
        <sz val="9"/>
        <color rgb="FF1F4E79"/>
        <rFont val="Arial"/>
        <family val="0"/>
        <charset val="1"/>
      </rPr>
      <t xml:space="preserve">Thiết bị vệ sinh tự động trực tuyến
</t>
    </r>
    <r>
      <rPr>
        <sz val="9"/>
        <rFont val="宋体"/>
        <family val="0"/>
        <charset val="1"/>
      </rPr>
      <t xml:space="preserve">ZXQ-01</t>
    </r>
    <r>
      <rPr>
        <sz val="9"/>
        <rFont val="WenQuanYi Zen Hei"/>
        <family val="2"/>
      </rPr>
      <t xml:space="preserve">～</t>
    </r>
    <r>
      <rPr>
        <sz val="9"/>
        <rFont val="宋体"/>
        <family val="0"/>
        <charset val="1"/>
      </rPr>
      <t xml:space="preserve">03</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</si>
  <si>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自动在线清洗装置
</t>
    </r>
    <r>
      <rPr>
        <sz val="9"/>
        <color rgb="FF1F4E79"/>
        <rFont val="Arial"/>
        <family val="0"/>
        <charset val="1"/>
      </rPr>
      <t xml:space="preserve">1. Tên: Thiết bị vệ sinh tự động trực tuyến
</t>
    </r>
    <r>
      <rPr>
        <sz val="9"/>
        <rFont val="宋体"/>
        <family val="0"/>
        <charset val="1"/>
      </rPr>
      <t xml:space="preserve">2.</t>
    </r>
    <r>
      <rPr>
        <sz val="9"/>
        <rFont val="WenQuanYi Zen Hei"/>
        <family val="2"/>
      </rPr>
      <t xml:space="preserve">编号</t>
    </r>
    <r>
      <rPr>
        <sz val="9"/>
        <rFont val="宋体"/>
        <family val="0"/>
        <charset val="1"/>
      </rPr>
      <t xml:space="preserve">:ZXQ-01</t>
    </r>
    <r>
      <rPr>
        <sz val="9"/>
        <rFont val="WenQuanYi Zen Hei"/>
        <family val="2"/>
      </rPr>
      <t xml:space="preserve">～</t>
    </r>
    <r>
      <rPr>
        <sz val="9"/>
        <rFont val="宋体"/>
        <family val="0"/>
        <charset val="1"/>
      </rPr>
      <t xml:space="preserve">03
</t>
    </r>
    <r>
      <rPr>
        <sz val="9"/>
        <color rgb="FF1F4E79"/>
        <rFont val="Arial"/>
        <family val="0"/>
        <charset val="1"/>
      </rPr>
      <t xml:space="preserve">2. Mã hiệu: ZXQ-01</t>
    </r>
    <r>
      <rPr>
        <sz val="9"/>
        <color rgb="FF1F4E79"/>
        <rFont val="WenQuanYi Zen Hei"/>
        <family val="2"/>
      </rPr>
      <t xml:space="preserve">～</t>
    </r>
    <r>
      <rPr>
        <sz val="9"/>
        <color rgb="FF1F4E79"/>
        <rFont val="Arial"/>
        <family val="0"/>
        <charset val="1"/>
      </rPr>
      <t xml:space="preserve">03
</t>
    </r>
    <r>
      <rPr>
        <sz val="9"/>
        <rFont val="WenQuanYi Zen Hei"/>
        <family val="2"/>
      </rPr>
      <t xml:space="preserve">收球器口径</t>
    </r>
    <r>
      <rPr>
        <sz val="9"/>
        <rFont val="宋体"/>
        <family val="0"/>
        <charset val="1"/>
      </rPr>
      <t xml:space="preserve">DN300</t>
    </r>
    <r>
      <rPr>
        <sz val="9"/>
        <rFont val="WenQuanYi Zen Hei"/>
        <family val="2"/>
      </rPr>
      <t xml:space="preserve">，最新无动力收球系统，不锈钢动力泵，胶球不经过水泵，无阀设计，收球机标配检修窗口，碳钢发球机，碳钢收球器，带水流感应功能，设备功率：</t>
    </r>
    <r>
      <rPr>
        <sz val="9"/>
        <rFont val="宋体"/>
        <family val="0"/>
        <charset val="1"/>
      </rPr>
      <t xml:space="preserve">2.2kW</t>
    </r>
    <r>
      <rPr>
        <sz val="9"/>
        <rFont val="WenQuanYi Zen Hei"/>
        <family val="2"/>
      </rPr>
      <t xml:space="preserve">，输入电压：</t>
    </r>
    <r>
      <rPr>
        <sz val="9"/>
        <rFont val="宋体"/>
        <family val="0"/>
        <charset val="1"/>
      </rPr>
      <t xml:space="preserve">380V/50Hz</t>
    </r>
    <r>
      <rPr>
        <sz val="9"/>
        <rFont val="WenQuanYi Zen Hei"/>
        <family val="2"/>
      </rPr>
      <t xml:space="preserve">，</t>
    </r>
    <r>
      <rPr>
        <sz val="9"/>
        <rFont val="宋体"/>
        <family val="0"/>
        <charset val="1"/>
      </rPr>
      <t xml:space="preserve">PLC</t>
    </r>
    <r>
      <rPr>
        <sz val="9"/>
        <rFont val="WenQuanYi Zen Hei"/>
        <family val="2"/>
      </rPr>
      <t xml:space="preserve">触摸屏正泰元器件室内控制箱，带</t>
    </r>
    <r>
      <rPr>
        <sz val="9"/>
        <rFont val="宋体"/>
        <family val="0"/>
        <charset val="1"/>
      </rPr>
      <t xml:space="preserve">485</t>
    </r>
    <r>
      <rPr>
        <sz val="9"/>
        <rFont val="WenQuanYi Zen Hei"/>
        <family val="2"/>
      </rPr>
      <t xml:space="preserve">远程通讯功能
</t>
    </r>
    <r>
      <rPr>
        <sz val="9"/>
        <color rgb="FF1F4E79"/>
        <rFont val="Arial"/>
        <family val="0"/>
        <charset val="1"/>
      </rPr>
      <t xml:space="preserve">Đường kính miệng bộ thu bi DN300, hệ thống thu bi không dùng động lực kiểu mới nhất, bơm động lực bằng inox, bi cao su không đi qua bơm nước, thiết kế không van, máy thu bi trang bị tiêu chuẩn cửa sổ kiểm tra bảo dưỡng, máy phát bi bằng thép cacbon, bộ thu bi bằng thép cacbon, có chức năng cảm biến dòng nước, công suất thiết bị: 2.2kW, điện áp đầu vào: 380V/50Hz, tủ điều khiển trong nhà màn hình cảm ứng PLC linh kiện CHINT, có chức năng truyền thông từ xa 485
</t>
    </r>
    <r>
      <rPr>
        <sz val="9"/>
        <rFont val="宋体"/>
        <family val="0"/>
        <charset val="1"/>
      </rPr>
      <t xml:space="preserve">3.</t>
    </r>
    <r>
      <rPr>
        <sz val="9"/>
        <rFont val="WenQuanYi Zen Hei"/>
        <family val="2"/>
      </rPr>
      <t xml:space="preserve">安装方式：旁通安装
</t>
    </r>
    <r>
      <rPr>
        <sz val="9"/>
        <color rgb="FF1F4E79"/>
        <rFont val="Arial"/>
        <family val="0"/>
        <charset val="1"/>
      </rPr>
      <t xml:space="preserve">3. Phương thức lắp đặt: lắp đặt kiểu nhánh rẽ (bypass)
</t>
    </r>
    <r>
      <rPr>
        <sz val="9"/>
        <rFont val="宋体"/>
        <family val="0"/>
        <charset val="1"/>
      </rPr>
      <t xml:space="preserve">4.</t>
    </r>
    <r>
      <rPr>
        <sz val="9"/>
        <rFont val="WenQuanYi Zen Hei"/>
        <family val="2"/>
      </rPr>
      <t xml:space="preserve">设计压力</t>
    </r>
    <r>
      <rPr>
        <sz val="9"/>
        <rFont val="宋体"/>
        <family val="0"/>
        <charset val="1"/>
      </rPr>
      <t xml:space="preserve">1.0MPa
</t>
    </r>
    <r>
      <rPr>
        <sz val="9"/>
        <color rgb="FF1F4E79"/>
        <rFont val="Arial"/>
        <family val="0"/>
        <charset val="1"/>
      </rPr>
      <t xml:space="preserve">4. Áp suất thiết kế 1.0MPa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</si>
  <si>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全自动加药装置
</t>
    </r>
    <r>
      <rPr>
        <sz val="9"/>
        <color rgb="FF1F4E79"/>
        <rFont val="Arial"/>
        <family val="0"/>
        <charset val="1"/>
      </rPr>
      <t xml:space="preserve">Thiết bị châm hóa chất hoàn toàn tự động
</t>
    </r>
    <r>
      <rPr>
        <sz val="9"/>
        <rFont val="宋体"/>
        <family val="0"/>
        <charset val="1"/>
      </rPr>
      <t xml:space="preserve">DOD-01</t>
    </r>
    <r>
      <rPr>
        <sz val="9"/>
        <rFont val="WenQuanYi Zen Hei"/>
        <family val="2"/>
      </rPr>
      <t xml:space="preserve">～</t>
    </r>
    <r>
      <rPr>
        <sz val="9"/>
        <rFont val="宋体"/>
        <family val="0"/>
        <charset val="1"/>
      </rPr>
      <t xml:space="preserve">02</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</si>
  <si>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全自动加药装置
</t>
    </r>
    <r>
      <rPr>
        <sz val="9"/>
        <color rgb="FF1F4E79"/>
        <rFont val="Arial"/>
        <family val="0"/>
        <charset val="1"/>
      </rPr>
      <t xml:space="preserve">1. Tên: Thiết bị châm hóa chất hoàn toàn tự động
</t>
    </r>
    <r>
      <rPr>
        <sz val="9"/>
        <rFont val="宋体"/>
        <family val="0"/>
        <charset val="1"/>
      </rPr>
      <t xml:space="preserve">2.</t>
    </r>
    <r>
      <rPr>
        <sz val="9"/>
        <rFont val="WenQuanYi Zen Hei"/>
        <family val="2"/>
      </rPr>
      <t xml:space="preserve">编号</t>
    </r>
    <r>
      <rPr>
        <sz val="9"/>
        <rFont val="宋体"/>
        <family val="0"/>
        <charset val="1"/>
      </rPr>
      <t xml:space="preserve">:DOD-01</t>
    </r>
    <r>
      <rPr>
        <sz val="9"/>
        <rFont val="WenQuanYi Zen Hei"/>
        <family val="2"/>
      </rPr>
      <t xml:space="preserve">～</t>
    </r>
    <r>
      <rPr>
        <sz val="9"/>
        <rFont val="宋体"/>
        <family val="0"/>
        <charset val="1"/>
      </rPr>
      <t xml:space="preserve">02
</t>
    </r>
    <r>
      <rPr>
        <sz val="9"/>
        <color rgb="FF1F4E79"/>
        <rFont val="Arial"/>
        <family val="0"/>
        <charset val="1"/>
      </rPr>
      <t xml:space="preserve">2. Mã hiệu: DOD-01</t>
    </r>
    <r>
      <rPr>
        <sz val="9"/>
        <color rgb="FF1F4E79"/>
        <rFont val="WenQuanYi Zen Hei"/>
        <family val="2"/>
      </rPr>
      <t xml:space="preserve">～</t>
    </r>
    <r>
      <rPr>
        <sz val="9"/>
        <color rgb="FF1F4E79"/>
        <rFont val="Arial"/>
        <family val="0"/>
        <charset val="1"/>
      </rPr>
      <t xml:space="preserve">02
</t>
    </r>
    <r>
      <rPr>
        <sz val="9"/>
        <rFont val="WenQuanYi Zen Hei"/>
        <family val="2"/>
      </rPr>
      <t xml:space="preserve">双桶双泵，</t>
    </r>
    <r>
      <rPr>
        <sz val="9"/>
        <rFont val="宋体"/>
        <family val="0"/>
        <charset val="1"/>
      </rPr>
      <t xml:space="preserve">200L</t>
    </r>
    <r>
      <rPr>
        <sz val="9"/>
        <rFont val="WenQuanYi Zen Hei"/>
        <family val="2"/>
      </rPr>
      <t xml:space="preserve">药桶，计量泵</t>
    </r>
    <r>
      <rPr>
        <sz val="9"/>
        <rFont val="宋体"/>
        <family val="0"/>
        <charset val="1"/>
      </rPr>
      <t xml:space="preserve">0-9L/H</t>
    </r>
    <r>
      <rPr>
        <sz val="9"/>
        <rFont val="WenQuanYi Zen Hei"/>
        <family val="2"/>
      </rPr>
      <t xml:space="preserve">可调节，带</t>
    </r>
    <r>
      <rPr>
        <sz val="9"/>
        <rFont val="宋体"/>
        <family val="0"/>
        <charset val="1"/>
      </rPr>
      <t xml:space="preserve">PH</t>
    </r>
    <r>
      <rPr>
        <sz val="9"/>
        <rFont val="WenQuanYi Zen Hei"/>
        <family val="2"/>
      </rPr>
      <t xml:space="preserve">值，电导率在线监测，设备功率：</t>
    </r>
    <r>
      <rPr>
        <sz val="9"/>
        <rFont val="宋体"/>
        <family val="0"/>
        <charset val="1"/>
      </rPr>
      <t xml:space="preserve">0.22kW</t>
    </r>
    <r>
      <rPr>
        <sz val="9"/>
        <rFont val="WenQuanYi Zen Hei"/>
        <family val="2"/>
      </rPr>
      <t xml:space="preserve">，输入电压：</t>
    </r>
    <r>
      <rPr>
        <sz val="9"/>
        <rFont val="宋体"/>
        <family val="0"/>
        <charset val="1"/>
      </rPr>
      <t xml:space="preserve">220V/50Hz</t>
    </r>
    <r>
      <rPr>
        <sz val="9"/>
        <rFont val="WenQuanYi Zen Hei"/>
        <family val="2"/>
      </rPr>
      <t xml:space="preserve">，</t>
    </r>
    <r>
      <rPr>
        <sz val="9"/>
        <rFont val="宋体"/>
        <family val="0"/>
        <charset val="1"/>
      </rPr>
      <t xml:space="preserve">PLC</t>
    </r>
    <r>
      <rPr>
        <sz val="9"/>
        <rFont val="WenQuanYi Zen Hei"/>
        <family val="2"/>
      </rPr>
      <t xml:space="preserve">触摸屏正泰元器件室内控制箱，带</t>
    </r>
    <r>
      <rPr>
        <sz val="9"/>
        <rFont val="宋体"/>
        <family val="0"/>
        <charset val="1"/>
      </rPr>
      <t xml:space="preserve">485</t>
    </r>
    <r>
      <rPr>
        <sz val="9"/>
        <rFont val="WenQuanYi Zen Hei"/>
        <family val="2"/>
      </rPr>
      <t xml:space="preserve">远程通讯功能
</t>
    </r>
    <r>
      <rPr>
        <sz val="9"/>
        <color rgb="FF1F4E79"/>
        <rFont val="Arial"/>
        <family val="0"/>
        <charset val="1"/>
      </rPr>
      <t xml:space="preserve">Hai thùng hai bơm, thùng hóa chất 200L, bơm định lượng 0-9L/H điều chỉnh được, có giám sát trực tuyến chỉ số PH, độ dẫn điện, công suất thiết bị: 0.22kW, điện áp đầu vào: 220V/50Hz, tủ điều khiển trong nhà màn hình cảm ứng PLC linh kiện CHINT, có chức năng truyền thông từ xa 485
</t>
    </r>
    <r>
      <rPr>
        <sz val="9"/>
        <rFont val="宋体"/>
        <family val="0"/>
        <charset val="1"/>
      </rPr>
      <t xml:space="preserve">3.</t>
    </r>
    <r>
      <rPr>
        <sz val="9"/>
        <rFont val="WenQuanYi Zen Hei"/>
        <family val="2"/>
      </rPr>
      <t xml:space="preserve">安装方式：</t>
    </r>
    <r>
      <rPr>
        <sz val="9"/>
        <rFont val="宋体"/>
        <family val="0"/>
        <charset val="1"/>
      </rPr>
      <t xml:space="preserve">DN25</t>
    </r>
    <r>
      <rPr>
        <sz val="9"/>
        <rFont val="WenQuanYi Zen Hei"/>
        <family val="2"/>
      </rPr>
      <t xml:space="preserve">旁通安装
</t>
    </r>
    <r>
      <rPr>
        <sz val="9"/>
        <color rgb="FF1F4E79"/>
        <rFont val="Arial"/>
        <family val="0"/>
        <charset val="1"/>
      </rPr>
      <t xml:space="preserve">3. Phương thức lắp đặt: lắp đặt kiểu nhánh rẽ (bypass) DN25
</t>
    </r>
    <r>
      <rPr>
        <sz val="9"/>
        <rFont val="宋体"/>
        <family val="0"/>
        <charset val="1"/>
      </rPr>
      <t xml:space="preserve">4.</t>
    </r>
    <r>
      <rPr>
        <sz val="9"/>
        <rFont val="WenQuanYi Zen Hei"/>
        <family val="2"/>
      </rPr>
      <t xml:space="preserve">设计压力</t>
    </r>
    <r>
      <rPr>
        <sz val="9"/>
        <rFont val="宋体"/>
        <family val="0"/>
        <charset val="1"/>
      </rPr>
      <t xml:space="preserve">1.0MPa
</t>
    </r>
    <r>
      <rPr>
        <sz val="9"/>
        <color rgb="FF1F4E79"/>
        <rFont val="Arial"/>
        <family val="0"/>
        <charset val="1"/>
      </rPr>
      <t xml:space="preserve">4. Áp suất thiết kế 1.0MPa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</si>
  <si>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膨胀水箱
</t>
    </r>
    <r>
      <rPr>
        <sz val="9"/>
        <color rgb="FF1F4E79"/>
        <rFont val="Arial"/>
        <family val="0"/>
        <charset val="1"/>
      </rPr>
      <t xml:space="preserve">Bình giãn nở</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</si>
  <si>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膨胀水箱
</t>
    </r>
    <r>
      <rPr>
        <sz val="9"/>
        <color rgb="FF1F4E79"/>
        <rFont val="Arial"/>
        <family val="0"/>
        <charset val="1"/>
      </rPr>
      <t xml:space="preserve">1. Loại: Bình giãn nở
</t>
    </r>
    <r>
      <rPr>
        <sz val="9"/>
        <rFont val="宋体"/>
        <family val="0"/>
        <charset val="1"/>
      </rPr>
      <t xml:space="preserve">2.</t>
    </r>
    <r>
      <rPr>
        <sz val="9"/>
        <rFont val="WenQuanYi Zen Hei"/>
        <family val="2"/>
      </rPr>
      <t xml:space="preserve">有效容积</t>
    </r>
    <r>
      <rPr>
        <sz val="9"/>
        <rFont val="宋体"/>
        <family val="0"/>
        <charset val="1"/>
      </rPr>
      <t xml:space="preserve">:2.0m3
</t>
    </r>
    <r>
      <rPr>
        <sz val="9"/>
        <color rgb="FF1F4E79"/>
        <rFont val="Arial"/>
        <family val="0"/>
        <charset val="1"/>
      </rPr>
      <t xml:space="preserve">2. Dung tích hữu ích: 2.0m3
</t>
    </r>
    <r>
      <rPr>
        <sz val="9"/>
        <rFont val="宋体"/>
        <family val="0"/>
        <charset val="1"/>
      </rPr>
      <t xml:space="preserve">3.</t>
    </r>
    <r>
      <rPr>
        <sz val="9"/>
        <rFont val="WenQuanYi Zen Hei"/>
        <family val="2"/>
      </rPr>
      <t xml:space="preserve">材质</t>
    </r>
    <r>
      <rPr>
        <sz val="9"/>
        <rFont val="宋体"/>
        <family val="0"/>
        <charset val="1"/>
      </rPr>
      <t xml:space="preserve">:304</t>
    </r>
    <r>
      <rPr>
        <sz val="9"/>
        <rFont val="WenQuanYi Zen Hei"/>
        <family val="2"/>
      </rPr>
      <t xml:space="preserve">不锈钢
</t>
    </r>
    <r>
      <rPr>
        <sz val="9"/>
        <color rgb="FF1F4E79"/>
        <rFont val="Arial"/>
        <family val="0"/>
        <charset val="1"/>
      </rPr>
      <t xml:space="preserve">3. Vật liệu: inox 304
</t>
    </r>
    <r>
      <rPr>
        <sz val="9"/>
        <rFont val="宋体"/>
        <family val="0"/>
        <charset val="1"/>
      </rPr>
      <t xml:space="preserve">4.</t>
    </r>
    <r>
      <rPr>
        <sz val="9"/>
        <rFont val="WenQuanYi Zen Hei"/>
        <family val="2"/>
      </rPr>
      <t xml:space="preserve">符合设计图纸以及施工规范要求
</t>
    </r>
    <r>
      <rPr>
        <sz val="9"/>
        <color rgb="FF1F4E79"/>
        <rFont val="Arial"/>
        <family val="0"/>
        <charset val="1"/>
      </rPr>
      <t xml:space="preserve">4. Phù hợp với yêu cầu của bản vẽ thiết kế và quy phạm thi công</t>
    </r>
  </si>
  <si>
    <r>
      <rPr>
        <sz val="9"/>
        <rFont val="WenQuanYi Zen Hei"/>
        <family val="2"/>
      </rPr>
      <t xml:space="preserve">国产优质
</t>
    </r>
    <r>
      <rPr>
        <sz val="9"/>
        <color rgb="FF1F4E79"/>
        <rFont val="Arial"/>
        <family val="0"/>
        <charset val="1"/>
      </rPr>
      <t xml:space="preserve">Hàng nội địa chất lượng cao</t>
    </r>
  </si>
  <si>
    <r>
      <rPr>
        <sz val="9"/>
        <rFont val="WenQuanYi Zen Hei"/>
        <family val="2"/>
      </rPr>
      <t xml:space="preserve">卧式明装风机盘管
</t>
    </r>
    <r>
      <rPr>
        <sz val="9"/>
        <color rgb="FF1F4E79"/>
        <rFont val="Arial"/>
        <family val="0"/>
        <charset val="1"/>
      </rPr>
      <t xml:space="preserve">Dàn quạt (FCU) nằm ngang lắp nổi
</t>
    </r>
    <r>
      <rPr>
        <sz val="9"/>
        <rFont val="宋体"/>
        <family val="0"/>
        <charset val="1"/>
      </rPr>
      <t xml:space="preserve">FCU-238M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</si>
  <si>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卧式明装风机盘管
</t>
    </r>
    <r>
      <rPr>
        <sz val="9"/>
        <color rgb="FF1F4E79"/>
        <rFont val="Arial"/>
        <family val="0"/>
        <charset val="1"/>
      </rPr>
      <t xml:space="preserve">1. Tên: Dàn quạt (FCU) nằm ngang lắp nổi
</t>
    </r>
    <r>
      <rPr>
        <sz val="9"/>
        <rFont val="宋体"/>
        <family val="0"/>
        <charset val="1"/>
      </rPr>
      <t xml:space="preserve">2.</t>
    </r>
    <r>
      <rPr>
        <sz val="9"/>
        <rFont val="WenQuanYi Zen Hei"/>
        <family val="2"/>
      </rPr>
      <t xml:space="preserve">编号</t>
    </r>
    <r>
      <rPr>
        <sz val="9"/>
        <rFont val="宋体"/>
        <family val="0"/>
        <charset val="1"/>
      </rPr>
      <t xml:space="preserve">:FCU-238M
</t>
    </r>
    <r>
      <rPr>
        <sz val="9"/>
        <color rgb="FF1F4E79"/>
        <rFont val="Arial"/>
        <family val="0"/>
        <charset val="1"/>
      </rPr>
      <t xml:space="preserve">2. Mã hiệu: FCU-238M
</t>
    </r>
    <r>
      <rPr>
        <sz val="9"/>
        <rFont val="WenQuanYi Zen Hei"/>
        <family val="2"/>
      </rPr>
      <t xml:space="preserve">风量</t>
    </r>
    <r>
      <rPr>
        <sz val="9"/>
        <rFont val="宋体"/>
        <family val="0"/>
        <charset val="1"/>
      </rPr>
      <t xml:space="preserve">2380m3/h</t>
    </r>
    <r>
      <rPr>
        <sz val="9"/>
        <rFont val="WenQuanYi Zen Hei"/>
        <family val="2"/>
      </rPr>
      <t xml:space="preserve">，制冷量</t>
    </r>
    <r>
      <rPr>
        <sz val="9"/>
        <rFont val="宋体"/>
        <family val="0"/>
        <charset val="1"/>
      </rPr>
      <t xml:space="preserve">12.6kW</t>
    </r>
    <r>
      <rPr>
        <sz val="9"/>
        <rFont val="WenQuanYi Zen Hei"/>
        <family val="2"/>
      </rPr>
      <t xml:space="preserve">，输入功率</t>
    </r>
    <r>
      <rPr>
        <sz val="9"/>
        <rFont val="宋体"/>
        <family val="0"/>
        <charset val="1"/>
      </rPr>
      <t xml:space="preserve">221W</t>
    </r>
    <r>
      <rPr>
        <sz val="9"/>
        <rFont val="WenQuanYi Zen Hei"/>
        <family val="2"/>
      </rPr>
      <t xml:space="preserve">，输入电压：</t>
    </r>
    <r>
      <rPr>
        <sz val="9"/>
        <rFont val="宋体"/>
        <family val="0"/>
        <charset val="1"/>
      </rPr>
      <t xml:space="preserve">220V/50Hz
</t>
    </r>
    <r>
      <rPr>
        <sz val="9"/>
        <color rgb="FF1F4E79"/>
        <rFont val="Arial"/>
        <family val="0"/>
        <charset val="1"/>
      </rPr>
      <t xml:space="preserve">Lưu lượng gió 2380m3/h, công suất lạnh 12.6kW, công suất đầu vào 221W, điện áp đầu vào: 220V/50Hz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</si>
  <si>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麦克维尔、申菱
</t>
    </r>
    <r>
      <rPr>
        <sz val="9"/>
        <color rgb="FF1F4E79"/>
        <rFont val="Arial"/>
        <family val="0"/>
        <charset val="1"/>
      </rPr>
      <t xml:space="preserve">McQuay, Shenling</t>
    </r>
  </si>
  <si>
    <r>
      <rPr>
        <b val="true"/>
        <sz val="9"/>
        <rFont val="WenQuanYi Zen Hei"/>
        <family val="2"/>
      </rPr>
      <t xml:space="preserve">小计
</t>
    </r>
    <r>
      <rPr>
        <b val="true"/>
        <sz val="9"/>
        <color rgb="FF1F4E79"/>
        <rFont val="Arial"/>
        <family val="0"/>
        <charset val="1"/>
      </rPr>
      <t xml:space="preserve">Cộng</t>
    </r>
  </si>
  <si>
    <r>
      <rPr>
        <b val="true"/>
        <sz val="9"/>
        <rFont val="WenQuanYi Zen Hei"/>
        <family val="2"/>
      </rPr>
      <t xml:space="preserve">二、
</t>
    </r>
    <r>
      <rPr>
        <b val="true"/>
        <sz val="9"/>
        <color rgb="FF1F4E79"/>
        <rFont val="Arial"/>
        <family val="0"/>
        <charset val="1"/>
      </rPr>
      <t xml:space="preserve">II.</t>
    </r>
  </si>
  <si>
    <r>
      <rPr>
        <b val="true"/>
        <sz val="9"/>
        <rFont val="WenQuanYi Zen Hei"/>
        <family val="2"/>
      </rPr>
      <t xml:space="preserve">空调水系统
</t>
    </r>
    <r>
      <rPr>
        <b val="true"/>
        <sz val="9"/>
        <color rgb="FF1F4E79"/>
        <rFont val="Arial"/>
        <family val="0"/>
        <charset val="1"/>
      </rPr>
      <t xml:space="preserve">Hệ thống nước điều hòa</t>
    </r>
  </si>
  <si>
    <r>
      <rPr>
        <sz val="9"/>
        <rFont val="WenQuanYi Zen Hei"/>
        <family val="2"/>
      </rPr>
      <t xml:space="preserve">集水器
</t>
    </r>
    <r>
      <rPr>
        <sz val="9"/>
        <color rgb="FF1F4E79"/>
        <rFont val="Arial"/>
        <family val="0"/>
        <charset val="1"/>
      </rPr>
      <t xml:space="preserve">Bộ góp nước hồi (collector)</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</si>
  <si>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集水器
</t>
    </r>
    <r>
      <rPr>
        <sz val="9"/>
        <color rgb="FF1F4E79"/>
        <rFont val="Arial"/>
        <family val="0"/>
        <charset val="1"/>
      </rPr>
      <t xml:space="preserve">1. Tên: Bộ góp nước hồi (collector)
</t>
    </r>
    <r>
      <rPr>
        <sz val="9"/>
        <rFont val="宋体"/>
        <family val="0"/>
        <charset val="1"/>
      </rPr>
      <t xml:space="preserve">2.</t>
    </r>
    <r>
      <rPr>
        <sz val="9"/>
        <rFont val="WenQuanYi Zen Hei"/>
        <family val="2"/>
      </rPr>
      <t xml:space="preserve">规格</t>
    </r>
    <r>
      <rPr>
        <sz val="9"/>
        <rFont val="宋体"/>
        <family val="0"/>
        <charset val="1"/>
      </rPr>
      <t xml:space="preserve">:DN1000*6000
</t>
    </r>
    <r>
      <rPr>
        <sz val="9"/>
        <color rgb="FF1F4E79"/>
        <rFont val="Arial"/>
        <family val="0"/>
        <charset val="1"/>
      </rPr>
      <t xml:space="preserve">2. Quy cách: DN1000*6000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落地式（现场制作）
</t>
    </r>
    <r>
      <rPr>
        <sz val="9"/>
        <color rgb="FF1F4E79"/>
        <rFont val="Arial"/>
        <family val="0"/>
        <charset val="1"/>
      </rPr>
      <t xml:space="preserve">3. Hình thức lắp đặt: đặt sàn (chế tạo tại hiện trường)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δ=60mm
</t>
    </r>
    <r>
      <rPr>
        <sz val="9"/>
        <color rgb="FF1F4E79"/>
        <rFont val="Arial"/>
        <family val="0"/>
        <charset val="1"/>
      </rPr>
      <t xml:space="preserve">6. Lớp bảo ôn: cao su xốp mềm chống cháy (cấp B1) δ=60mm
</t>
    </r>
    <r>
      <rPr>
        <sz val="9"/>
        <rFont val="宋体"/>
        <family val="0"/>
        <charset val="1"/>
      </rPr>
      <t xml:space="preserve">7.</t>
    </r>
    <r>
      <rPr>
        <sz val="9"/>
        <rFont val="WenQuanYi Zen Hei"/>
        <family val="2"/>
      </rPr>
      <t xml:space="preserve">含附件
</t>
    </r>
    <r>
      <rPr>
        <sz val="9"/>
        <color rgb="FF1F4E79"/>
        <rFont val="Arial"/>
        <family val="0"/>
        <charset val="1"/>
      </rPr>
      <t xml:space="preserve">7. Bao gồm phụ kiện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</si>
  <si>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分水器
</t>
    </r>
    <r>
      <rPr>
        <sz val="9"/>
        <color rgb="FF1F4E79"/>
        <rFont val="Arial"/>
        <family val="0"/>
        <charset val="1"/>
      </rPr>
      <t xml:space="preserve">Bộ chia nước cấp (header)</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</si>
  <si>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分水器
</t>
    </r>
    <r>
      <rPr>
        <sz val="9"/>
        <color rgb="FF1F4E79"/>
        <rFont val="Arial"/>
        <family val="0"/>
        <charset val="1"/>
      </rPr>
      <t xml:space="preserve">1. Tên: Bộ chia nước cấp (header)
</t>
    </r>
    <r>
      <rPr>
        <sz val="9"/>
        <rFont val="宋体"/>
        <family val="0"/>
        <charset val="1"/>
      </rPr>
      <t xml:space="preserve">2.</t>
    </r>
    <r>
      <rPr>
        <sz val="9"/>
        <rFont val="WenQuanYi Zen Hei"/>
        <family val="2"/>
      </rPr>
      <t xml:space="preserve">规格</t>
    </r>
    <r>
      <rPr>
        <sz val="9"/>
        <rFont val="宋体"/>
        <family val="0"/>
        <charset val="1"/>
      </rPr>
      <t xml:space="preserve">:DN1000*6000
</t>
    </r>
    <r>
      <rPr>
        <sz val="9"/>
        <color rgb="FF1F4E79"/>
        <rFont val="Arial"/>
        <family val="0"/>
        <charset val="1"/>
      </rPr>
      <t xml:space="preserve">2. Quy cách: DN1000*6000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落地式（现场制作）
</t>
    </r>
    <r>
      <rPr>
        <sz val="9"/>
        <color rgb="FF1F4E79"/>
        <rFont val="Arial"/>
        <family val="0"/>
        <charset val="1"/>
      </rPr>
      <t xml:space="preserve">3. Hình thức lắp đặt: đặt sàn (chế tạo tại hiện trường)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δ=60mm
</t>
    </r>
    <r>
      <rPr>
        <sz val="9"/>
        <color rgb="FF1F4E79"/>
        <rFont val="Arial"/>
        <family val="0"/>
        <charset val="1"/>
      </rPr>
      <t xml:space="preserve">6. Lớp bảo ôn: cao su xốp mềm chống cháy (cấp B1) δ=60mm
</t>
    </r>
    <r>
      <rPr>
        <sz val="9"/>
        <rFont val="宋体"/>
        <family val="0"/>
        <charset val="1"/>
      </rPr>
      <t xml:space="preserve">7.</t>
    </r>
    <r>
      <rPr>
        <sz val="9"/>
        <rFont val="WenQuanYi Zen Hei"/>
        <family val="2"/>
      </rPr>
      <t xml:space="preserve">含附件
</t>
    </r>
    <r>
      <rPr>
        <sz val="9"/>
        <color rgb="FF1F4E79"/>
        <rFont val="Arial"/>
        <family val="0"/>
        <charset val="1"/>
      </rPr>
      <t xml:space="preserve">7. Bao gồm phụ kiện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</si>
  <si>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热镀锌螺旋钢管
</t>
    </r>
    <r>
      <rPr>
        <sz val="9"/>
        <color rgb="FF1F4E79"/>
        <rFont val="Arial"/>
        <family val="0"/>
        <charset val="1"/>
      </rPr>
      <t xml:space="preserve">Ống thép xoắn mạ kẽm nhúng nóng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</si>
  <si>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热镀锌螺旋钢管
</t>
    </r>
    <r>
      <rPr>
        <sz val="9"/>
        <color rgb="FF1F4E79"/>
        <rFont val="Arial"/>
        <family val="0"/>
        <charset val="1"/>
      </rPr>
      <t xml:space="preserve">1. Vật liệu: ống thép xoắn mạ kẽm nhúng nóng
</t>
    </r>
    <r>
      <rPr>
        <sz val="9"/>
        <rFont val="宋体"/>
        <family val="0"/>
        <charset val="1"/>
      </rPr>
      <t xml:space="preserve">2.</t>
    </r>
    <r>
      <rPr>
        <sz val="9"/>
        <rFont val="WenQuanYi Zen Hei"/>
        <family val="2"/>
      </rPr>
      <t xml:space="preserve">规格</t>
    </r>
    <r>
      <rPr>
        <sz val="9"/>
        <rFont val="宋体"/>
        <family val="0"/>
        <charset val="1"/>
      </rPr>
      <t xml:space="preserve">:DN500*9
</t>
    </r>
    <r>
      <rPr>
        <sz val="9"/>
        <color rgb="FF1F4E79"/>
        <rFont val="Arial"/>
        <family val="0"/>
        <charset val="1"/>
      </rPr>
      <t xml:space="preserve">2. Quy cách: DN500*9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δ=50mm
</t>
    </r>
    <r>
      <rPr>
        <sz val="9"/>
        <color rgb="FF1F4E79"/>
        <rFont val="Arial"/>
        <family val="0"/>
        <charset val="1"/>
      </rPr>
      <t xml:space="preserve">6. Lớp bảo ôn: cao su xốp mềm chống cháy (cấp B1) δ=50mm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</si>
  <si>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t xml:space="preserve">m</t>
  </si>
  <si>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热镀锌螺旋钢管
</t>
    </r>
    <r>
      <rPr>
        <sz val="9"/>
        <color rgb="FF1F4E79"/>
        <rFont val="Arial"/>
        <family val="0"/>
        <charset val="1"/>
      </rPr>
      <t xml:space="preserve">1. Vật liệu: ống thép xoắn mạ kẽm nhúng nóng
</t>
    </r>
    <r>
      <rPr>
        <sz val="9"/>
        <rFont val="宋体"/>
        <family val="0"/>
        <charset val="1"/>
      </rPr>
      <t xml:space="preserve">2.</t>
    </r>
    <r>
      <rPr>
        <sz val="9"/>
        <rFont val="WenQuanYi Zen Hei"/>
        <family val="2"/>
      </rPr>
      <t xml:space="preserve">规格</t>
    </r>
    <r>
      <rPr>
        <sz val="9"/>
        <rFont val="宋体"/>
        <family val="0"/>
        <charset val="1"/>
      </rPr>
      <t xml:space="preserve">:DN350*7
</t>
    </r>
    <r>
      <rPr>
        <sz val="9"/>
        <color rgb="FF1F4E79"/>
        <rFont val="Arial"/>
        <family val="0"/>
        <charset val="1"/>
      </rPr>
      <t xml:space="preserve">2. Quy cách: DN350*7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δ=50mm
</t>
    </r>
    <r>
      <rPr>
        <sz val="9"/>
        <color rgb="FF1F4E79"/>
        <rFont val="Arial"/>
        <family val="0"/>
        <charset val="1"/>
      </rPr>
      <t xml:space="preserve">6. Lớp bảo ôn: cao su xốp mềm chống cháy (cấp B1) δ=50mm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</si>
  <si>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热镀锌钢管
</t>
    </r>
    <r>
      <rPr>
        <sz val="9"/>
        <color rgb="FF1F4E79"/>
        <rFont val="Arial"/>
        <family val="0"/>
        <charset val="1"/>
      </rPr>
      <t xml:space="preserve">Ống thép mạ kẽm nhúng nóng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</si>
  <si>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:DN300*6.0
</t>
    </r>
    <r>
      <rPr>
        <sz val="9"/>
        <color rgb="FF1F4E79"/>
        <rFont val="Arial"/>
        <family val="0"/>
        <charset val="1"/>
      </rPr>
      <t xml:space="preserve">2. Quy cách: DN300*6.0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δ=45mm
</t>
    </r>
    <r>
      <rPr>
        <sz val="9"/>
        <color rgb="FF1F4E79"/>
        <rFont val="Arial"/>
        <family val="0"/>
        <charset val="1"/>
      </rPr>
      <t xml:space="preserve">6. Lớp bảo ôn: cao su xốp mềm chống cháy (cấp B1) δ=45mm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</si>
  <si>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钢管：振鸿、广岐、华岐、友发、南粤
</t>
    </r>
    <r>
      <rPr>
        <sz val="9"/>
        <color rgb="FF1F4E79"/>
        <rFont val="Arial"/>
        <family val="0"/>
        <charset val="1"/>
      </rPr>
      <t xml:space="preserve">Ống thép: Zhenhong, Guangqi, Huaqi, Youfa, Nanyue
</t>
    </r>
    <r>
      <rPr>
        <sz val="9"/>
        <rFont val="WenQuanYi Zen Hei"/>
        <family val="2"/>
      </rPr>
      <t xml:space="preserve">保温：</t>
    </r>
    <r>
      <rPr>
        <sz val="9"/>
        <rFont val="宋体"/>
        <family val="0"/>
        <charset val="1"/>
      </rPr>
      <t xml:space="preserve">Ord,</t>
    </r>
    <r>
      <rPr>
        <sz val="9"/>
        <rFont val="WenQuanYi Zen Hei"/>
        <family val="2"/>
      </rPr>
      <t xml:space="preserve">贝柠、华美、派柏士
</t>
    </r>
    <r>
      <rPr>
        <sz val="9"/>
        <color rgb="FF1F4E79"/>
        <rFont val="Arial"/>
        <family val="0"/>
        <charset val="1"/>
      </rPr>
      <t xml:space="preserve">Bảo ôn: Ord, Beining, Huamei, Paibaishi</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</si>
  <si>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:DN250*6.0
</t>
    </r>
    <r>
      <rPr>
        <sz val="9"/>
        <color rgb="FF1F4E79"/>
        <rFont val="Arial"/>
        <family val="0"/>
        <charset val="1"/>
      </rPr>
      <t xml:space="preserve">2. Quy cách: DN250*6.0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δ=50mm
</t>
    </r>
    <r>
      <rPr>
        <sz val="9"/>
        <color rgb="FF1F4E79"/>
        <rFont val="Arial"/>
        <family val="0"/>
        <charset val="1"/>
      </rPr>
      <t xml:space="preserve">6. Lớp bảo ôn: cao su xốp mềm chống cháy (cấp B1) δ=50mm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</si>
  <si>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:DN125*4.25
</t>
    </r>
    <r>
      <rPr>
        <sz val="9"/>
        <color rgb="FF1F4E79"/>
        <rFont val="Arial"/>
        <family val="0"/>
        <charset val="1"/>
      </rPr>
      <t xml:space="preserve">2. Quy cách: DN125*4.25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δ=40mm
</t>
    </r>
    <r>
      <rPr>
        <sz val="9"/>
        <color rgb="FF1F4E79"/>
        <rFont val="Arial"/>
        <family val="0"/>
        <charset val="1"/>
      </rPr>
      <t xml:space="preserve">6. Lớp bảo ôn: cao su xốp mềm chống cháy (cấp B1) δ=40mm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</si>
  <si>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:DN32*3.0
</t>
    </r>
    <r>
      <rPr>
        <sz val="9"/>
        <color rgb="FF1F4E79"/>
        <rFont val="Arial"/>
        <family val="0"/>
        <charset val="1"/>
      </rPr>
      <t xml:space="preserve">2. Quy cách: DN32*3.0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6. Lớp bảo ôn: cao su xốp mềm chống cháy (cấp B1) δ=30mm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</si>
  <si>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:DN25*3.0
</t>
    </r>
    <r>
      <rPr>
        <sz val="9"/>
        <color rgb="FF1F4E79"/>
        <rFont val="Arial"/>
        <family val="0"/>
        <charset val="1"/>
      </rPr>
      <t xml:space="preserve">2. Quy cách: DN25*3.0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δ=25mm
</t>
    </r>
    <r>
      <rPr>
        <sz val="9"/>
        <color rgb="FF1F4E79"/>
        <rFont val="Arial"/>
        <family val="0"/>
        <charset val="1"/>
      </rPr>
      <t xml:space="preserve">6. Lớp bảo ôn: cao su xốp mềm chống cháy (cấp B1) δ=25mm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</si>
  <si>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:DN20*2.75
</t>
    </r>
    <r>
      <rPr>
        <sz val="9"/>
        <color rgb="FF1F4E79"/>
        <rFont val="Arial"/>
        <family val="0"/>
        <charset val="1"/>
      </rPr>
      <t xml:space="preserve">2. Quy cách: DN20*2.75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δ=25mm
</t>
    </r>
    <r>
      <rPr>
        <sz val="9"/>
        <color rgb="FF1F4E79"/>
        <rFont val="Arial"/>
        <family val="0"/>
        <charset val="1"/>
      </rPr>
      <t xml:space="preserve">6. Lớp bảo ôn: cao su xốp mềm chống cháy (cấp B1) δ=25mm
</t>
    </r>
    <r>
      <rPr>
        <sz val="9"/>
        <rFont val="宋体"/>
        <family val="0"/>
        <charset val="1"/>
      </rPr>
      <t xml:space="preserve">7.</t>
    </r>
    <r>
      <rPr>
        <sz val="9"/>
        <rFont val="WenQuanYi Zen Hei"/>
        <family val="2"/>
      </rPr>
      <t xml:space="preserve">含连接管件
</t>
    </r>
    <r>
      <rPr>
        <sz val="9"/>
        <color rgb="FF1F4E79"/>
        <rFont val="Arial"/>
        <family val="0"/>
        <charset val="1"/>
      </rPr>
      <t xml:space="preserve">7. Bao gồm phụ kiện nối ống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</si>
  <si>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热镀锌螺旋钢管 
</t>
    </r>
    <r>
      <rPr>
        <sz val="9"/>
        <color rgb="FF1F4E79"/>
        <rFont val="Arial"/>
        <family val="0"/>
        <charset val="1"/>
      </rPr>
      <t xml:space="preserve">1. Vật liệu: ống thép xoắn mạ kẽm nhúng nóng
</t>
    </r>
    <r>
      <rPr>
        <sz val="9"/>
        <rFont val="宋体"/>
        <family val="0"/>
        <charset val="1"/>
      </rPr>
      <t xml:space="preserve">2.</t>
    </r>
    <r>
      <rPr>
        <sz val="9"/>
        <rFont val="WenQuanYi Zen Hei"/>
        <family val="2"/>
      </rPr>
      <t xml:space="preserve">规格</t>
    </r>
    <r>
      <rPr>
        <sz val="9"/>
        <rFont val="宋体"/>
        <family val="0"/>
        <charset val="1"/>
      </rPr>
      <t xml:space="preserve">:DN600*9
</t>
    </r>
    <r>
      <rPr>
        <sz val="9"/>
        <color rgb="FF1F4E79"/>
        <rFont val="Arial"/>
        <family val="0"/>
        <charset val="1"/>
      </rPr>
      <t xml:space="preserve">2. Quy cách: DN600*9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</si>
  <si>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:DN300*6.0
</t>
    </r>
    <r>
      <rPr>
        <sz val="9"/>
        <color rgb="FF1F4E79"/>
        <rFont val="Arial"/>
        <family val="0"/>
        <charset val="1"/>
      </rPr>
      <t xml:space="preserve">2. Quy cách: DN300*6.0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</si>
  <si>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WenQuanYi Zen Hei"/>
        <family val="2"/>
      </rPr>
      <t xml:space="preserve">振鸿、广岐、华岐、友发、南粤
</t>
    </r>
    <r>
      <rPr>
        <sz val="9"/>
        <color rgb="FF1F4E79"/>
        <rFont val="Arial"/>
        <family val="0"/>
        <charset val="1"/>
      </rPr>
      <t xml:space="preserve">Zhenhong, Guangqi, Huaqi, Youfa, Nanyue</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</si>
  <si>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:DN250*6.0
</t>
    </r>
    <r>
      <rPr>
        <sz val="9"/>
        <color rgb="FF1F4E79"/>
        <rFont val="Arial"/>
        <family val="0"/>
        <charset val="1"/>
      </rPr>
      <t xml:space="preserve">2. Quy cách: DN250*6.0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</si>
  <si>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:DN200*6.0
</t>
    </r>
    <r>
      <rPr>
        <sz val="9"/>
        <color rgb="FF1F4E79"/>
        <rFont val="Arial"/>
        <family val="0"/>
        <charset val="1"/>
      </rPr>
      <t xml:space="preserve">2. Quy cách: DN200*6.0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</si>
  <si>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:DN150*4.5
</t>
    </r>
    <r>
      <rPr>
        <sz val="9"/>
        <color rgb="FF1F4E79"/>
        <rFont val="Arial"/>
        <family val="0"/>
        <charset val="1"/>
      </rPr>
      <t xml:space="preserve">2. Quy cách: DN150*4.5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3. Hình thức kết nối: hàn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</si>
  <si>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1. Vật liệu: ống thép mạ kẽm nhúng nóng
</t>
    </r>
    <r>
      <rPr>
        <sz val="9"/>
        <rFont val="宋体"/>
        <family val="0"/>
        <charset val="1"/>
      </rPr>
      <t xml:space="preserve">2.</t>
    </r>
    <r>
      <rPr>
        <sz val="9"/>
        <rFont val="WenQuanYi Zen Hei"/>
        <family val="2"/>
      </rPr>
      <t xml:space="preserve">规格</t>
    </r>
    <r>
      <rPr>
        <sz val="9"/>
        <rFont val="宋体"/>
        <family val="0"/>
        <charset val="1"/>
      </rPr>
      <t xml:space="preserve">:DN25*3.0
</t>
    </r>
    <r>
      <rPr>
        <sz val="9"/>
        <color rgb="FF1F4E79"/>
        <rFont val="Arial"/>
        <family val="0"/>
        <charset val="1"/>
      </rPr>
      <t xml:space="preserve">2. Quy cách: DN25*3.0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4. Yêu cầu thiết kế về thử áp lực và thổi, rửa: súc rửa bằng nước và thử áp lực nước
</t>
    </r>
    <r>
      <rPr>
        <sz val="9"/>
        <rFont val="宋体"/>
        <family val="0"/>
        <charset val="1"/>
      </rPr>
      <t xml:space="preserve">5.</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5. Chống ăn mòn: sơn chống gỉ hai lớp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</si>
  <si>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膨胀管、辅助设备接管及泄水管
</t>
    </r>
    <r>
      <rPr>
        <sz val="9"/>
        <color rgb="FF1F4E79"/>
        <rFont val="Arial"/>
        <family val="0"/>
        <charset val="1"/>
      </rPr>
      <t xml:space="preserve">1. Tên: ống giãn nở, ống nối thiết bị phụ trợ và ống xả nước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2. Vật liệu: ống thép mạ kẽm nhúng nóng
</t>
    </r>
    <r>
      <rPr>
        <sz val="9"/>
        <rFont val="宋体"/>
        <family val="0"/>
        <charset val="1"/>
      </rPr>
      <t xml:space="preserve">3.</t>
    </r>
    <r>
      <rPr>
        <sz val="9"/>
        <rFont val="WenQuanYi Zen Hei"/>
        <family val="2"/>
      </rPr>
      <t xml:space="preserve">规格</t>
    </r>
    <r>
      <rPr>
        <sz val="9"/>
        <rFont val="宋体"/>
        <family val="0"/>
        <charset val="1"/>
      </rPr>
      <t xml:space="preserve">:DN50*3.5
</t>
    </r>
    <r>
      <rPr>
        <sz val="9"/>
        <color rgb="FF1F4E79"/>
        <rFont val="Arial"/>
        <family val="0"/>
        <charset val="1"/>
      </rPr>
      <t xml:space="preserve">3. Quy cách: DN50*3.5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4. Hình thức kết nối: nối ren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水冲洗和水压试验
</t>
    </r>
    <r>
      <rPr>
        <sz val="9"/>
        <color rgb="FF1F4E79"/>
        <rFont val="Arial"/>
        <family val="0"/>
        <charset val="1"/>
      </rPr>
      <t xml:space="preserve">5. Yêu cầu thiết kế về thử áp lực và thổi, rửa: súc rửa bằng nước và thử áp lực nước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</si>
  <si>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PVC</t>
    </r>
    <r>
      <rPr>
        <sz val="9"/>
        <rFont val="WenQuanYi Zen Hei"/>
        <family val="2"/>
      </rPr>
      <t xml:space="preserve">给水管
</t>
    </r>
    <r>
      <rPr>
        <sz val="9"/>
        <color rgb="FF1F4E79"/>
        <rFont val="Arial"/>
        <family val="0"/>
        <charset val="1"/>
      </rPr>
      <t xml:space="preserve">Ống cấp nước PVC</t>
    </r>
  </si>
  <si>
    <r>
      <rPr>
        <sz val="9"/>
        <rFont val="宋体"/>
        <family val="0"/>
        <charset val="1"/>
      </rPr>
      <t xml:space="preserve">1.</t>
    </r>
    <r>
      <rPr>
        <sz val="9"/>
        <rFont val="WenQuanYi Zen Hei"/>
        <family val="2"/>
      </rPr>
      <t xml:space="preserve">介质</t>
    </r>
    <r>
      <rPr>
        <sz val="9"/>
        <rFont val="宋体"/>
        <family val="0"/>
        <charset val="1"/>
      </rPr>
      <t xml:space="preserve">:</t>
    </r>
    <r>
      <rPr>
        <sz val="9"/>
        <rFont val="WenQuanYi Zen Hei"/>
        <family val="2"/>
      </rPr>
      <t xml:space="preserve">补水
</t>
    </r>
    <r>
      <rPr>
        <sz val="9"/>
        <color rgb="FF1F4E79"/>
        <rFont val="Arial"/>
        <family val="0"/>
        <charset val="1"/>
      </rPr>
      <t xml:space="preserve">1. Môi chất: nước bổ sung
</t>
    </r>
    <r>
      <rPr>
        <sz val="9"/>
        <rFont val="宋体"/>
        <family val="0"/>
        <charset val="1"/>
      </rPr>
      <t xml:space="preserve">2.</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2. Vật liệu: ống cấp nước PVC
</t>
    </r>
    <r>
      <rPr>
        <sz val="9"/>
        <rFont val="宋体"/>
        <family val="0"/>
        <charset val="1"/>
      </rPr>
      <t xml:space="preserve">3.</t>
    </r>
    <r>
      <rPr>
        <sz val="9"/>
        <rFont val="WenQuanYi Zen Hei"/>
        <family val="2"/>
      </rPr>
      <t xml:space="preserve">规格</t>
    </r>
    <r>
      <rPr>
        <sz val="9"/>
        <rFont val="宋体"/>
        <family val="0"/>
        <charset val="1"/>
      </rPr>
      <t xml:space="preserve">:De110
</t>
    </r>
    <r>
      <rPr>
        <sz val="9"/>
        <color rgb="FF1F4E79"/>
        <rFont val="Arial"/>
        <family val="0"/>
        <charset val="1"/>
      </rPr>
      <t xml:space="preserve">3. Quy cách: De110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4. Hình thức kết nối: dán keo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5. Yêu cầu thiết kế về thử áp lực và thổi, rửa: theo yêu cầu quy phạm thiết kế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</si>
  <si>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WenQuanYi Zen Hei"/>
        <family val="2"/>
      </rPr>
      <t xml:space="preserve">联塑、日丰
</t>
    </r>
    <r>
      <rPr>
        <sz val="9"/>
        <color rgb="FF1F4E79"/>
        <rFont val="Arial"/>
        <family val="0"/>
        <charset val="1"/>
      </rPr>
      <t xml:space="preserve">Lesso, Rifeng</t>
    </r>
  </si>
  <si>
    <r>
      <rPr>
        <sz val="9"/>
        <rFont val="宋体"/>
        <family val="0"/>
        <charset val="1"/>
      </rPr>
      <t xml:space="preserve">1.</t>
    </r>
    <r>
      <rPr>
        <sz val="9"/>
        <rFont val="WenQuanYi Zen Hei"/>
        <family val="2"/>
      </rPr>
      <t xml:space="preserve">介质</t>
    </r>
    <r>
      <rPr>
        <sz val="9"/>
        <rFont val="宋体"/>
        <family val="0"/>
        <charset val="1"/>
      </rPr>
      <t xml:space="preserve">:</t>
    </r>
    <r>
      <rPr>
        <sz val="9"/>
        <rFont val="WenQuanYi Zen Hei"/>
        <family val="2"/>
      </rPr>
      <t xml:space="preserve">补水
</t>
    </r>
    <r>
      <rPr>
        <sz val="9"/>
        <color rgb="FF1F4E79"/>
        <rFont val="Arial"/>
        <family val="0"/>
        <charset val="1"/>
      </rPr>
      <t xml:space="preserve">1. Môi chất: nước bổ sung
</t>
    </r>
    <r>
      <rPr>
        <sz val="9"/>
        <rFont val="宋体"/>
        <family val="0"/>
        <charset val="1"/>
      </rPr>
      <t xml:space="preserve">2.</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2. Vật liệu: ống cấp nước PVC
</t>
    </r>
    <r>
      <rPr>
        <sz val="9"/>
        <rFont val="宋体"/>
        <family val="0"/>
        <charset val="1"/>
      </rPr>
      <t xml:space="preserve">3.</t>
    </r>
    <r>
      <rPr>
        <sz val="9"/>
        <rFont val="WenQuanYi Zen Hei"/>
        <family val="2"/>
      </rPr>
      <t xml:space="preserve">规格</t>
    </r>
    <r>
      <rPr>
        <sz val="9"/>
        <rFont val="宋体"/>
        <family val="0"/>
        <charset val="1"/>
      </rPr>
      <t xml:space="preserve">:De40
</t>
    </r>
    <r>
      <rPr>
        <sz val="9"/>
        <color rgb="FF1F4E79"/>
        <rFont val="Arial"/>
        <family val="0"/>
        <charset val="1"/>
      </rPr>
      <t xml:space="preserve">3. Quy cách: De40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4. Hình thức kết nối: dán keo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5. Yêu cầu thiết kế về thử áp lực và thổi, rửa: theo yêu cầu quy phạm thiết kế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</si>
  <si>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介质</t>
    </r>
    <r>
      <rPr>
        <sz val="9"/>
        <rFont val="宋体"/>
        <family val="0"/>
        <charset val="1"/>
      </rPr>
      <t xml:space="preserve">:</t>
    </r>
    <r>
      <rPr>
        <sz val="9"/>
        <rFont val="WenQuanYi Zen Hei"/>
        <family val="2"/>
      </rPr>
      <t xml:space="preserve">补水
</t>
    </r>
    <r>
      <rPr>
        <sz val="9"/>
        <color rgb="FF1F4E79"/>
        <rFont val="Arial"/>
        <family val="0"/>
        <charset val="1"/>
      </rPr>
      <t xml:space="preserve">1. Môi chất: nước bổ sung
</t>
    </r>
    <r>
      <rPr>
        <sz val="9"/>
        <rFont val="宋体"/>
        <family val="0"/>
        <charset val="1"/>
      </rPr>
      <t xml:space="preserve">2.</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2. Vật liệu: ống cấp nước PVC
</t>
    </r>
    <r>
      <rPr>
        <sz val="9"/>
        <rFont val="宋体"/>
        <family val="0"/>
        <charset val="1"/>
      </rPr>
      <t xml:space="preserve">3.</t>
    </r>
    <r>
      <rPr>
        <sz val="9"/>
        <rFont val="WenQuanYi Zen Hei"/>
        <family val="2"/>
      </rPr>
      <t xml:space="preserve">规格</t>
    </r>
    <r>
      <rPr>
        <sz val="9"/>
        <rFont val="宋体"/>
        <family val="0"/>
        <charset val="1"/>
      </rPr>
      <t xml:space="preserve">:De32
</t>
    </r>
    <r>
      <rPr>
        <sz val="9"/>
        <color rgb="FF1F4E79"/>
        <rFont val="Arial"/>
        <family val="0"/>
        <charset val="1"/>
      </rPr>
      <t xml:space="preserve">3. Quy cách: De32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4. Hình thức kết nối: dán keo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5. Yêu cầu thiết kế về thử áp lực và thổi, rửa: theo yêu cầu quy phạm thiết kế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</si>
  <si>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介质</t>
    </r>
    <r>
      <rPr>
        <sz val="9"/>
        <rFont val="宋体"/>
        <family val="0"/>
        <charset val="1"/>
      </rPr>
      <t xml:space="preserve">:</t>
    </r>
    <r>
      <rPr>
        <sz val="9"/>
        <rFont val="WenQuanYi Zen Hei"/>
        <family val="2"/>
      </rPr>
      <t xml:space="preserve">排水
</t>
    </r>
    <r>
      <rPr>
        <sz val="9"/>
        <color rgb="FF1F4E79"/>
        <rFont val="Arial"/>
        <family val="0"/>
        <charset val="1"/>
      </rPr>
      <t xml:space="preserve">1. Môi chất: thoát nước
</t>
    </r>
    <r>
      <rPr>
        <sz val="9"/>
        <rFont val="宋体"/>
        <family val="0"/>
        <charset val="1"/>
      </rPr>
      <t xml:space="preserve">2.</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2. Vật liệu: ống cấp nước PVC
</t>
    </r>
    <r>
      <rPr>
        <sz val="9"/>
        <rFont val="宋体"/>
        <family val="0"/>
        <charset val="1"/>
      </rPr>
      <t xml:space="preserve">3.</t>
    </r>
    <r>
      <rPr>
        <sz val="9"/>
        <rFont val="WenQuanYi Zen Hei"/>
        <family val="2"/>
      </rPr>
      <t xml:space="preserve">规格</t>
    </r>
    <r>
      <rPr>
        <sz val="9"/>
        <rFont val="宋体"/>
        <family val="0"/>
        <charset val="1"/>
      </rPr>
      <t xml:space="preserve">:De160
</t>
    </r>
    <r>
      <rPr>
        <sz val="9"/>
        <color rgb="FF1F4E79"/>
        <rFont val="Arial"/>
        <family val="0"/>
        <charset val="1"/>
      </rPr>
      <t xml:space="preserve">3. Quy cách: De160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4. Hình thức kết nối: dán keo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5. Yêu cầu thiết kế về thử áp lực và thổi, rửa: theo yêu cầu quy phạm thiết kế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</si>
  <si>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介质</t>
    </r>
    <r>
      <rPr>
        <sz val="9"/>
        <rFont val="宋体"/>
        <family val="0"/>
        <charset val="1"/>
      </rPr>
      <t xml:space="preserve">:</t>
    </r>
    <r>
      <rPr>
        <sz val="9"/>
        <rFont val="WenQuanYi Zen Hei"/>
        <family val="2"/>
      </rPr>
      <t xml:space="preserve">排水
</t>
    </r>
    <r>
      <rPr>
        <sz val="9"/>
        <color rgb="FF1F4E79"/>
        <rFont val="Arial"/>
        <family val="0"/>
        <charset val="1"/>
      </rPr>
      <t xml:space="preserve">1. Môi chất: thoát nước
</t>
    </r>
    <r>
      <rPr>
        <sz val="9"/>
        <rFont val="宋体"/>
        <family val="0"/>
        <charset val="1"/>
      </rPr>
      <t xml:space="preserve">2.</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2. Vật liệu: ống cấp nước PVC
</t>
    </r>
    <r>
      <rPr>
        <sz val="9"/>
        <rFont val="宋体"/>
        <family val="0"/>
        <charset val="1"/>
      </rPr>
      <t xml:space="preserve">3.</t>
    </r>
    <r>
      <rPr>
        <sz val="9"/>
        <rFont val="WenQuanYi Zen Hei"/>
        <family val="2"/>
      </rPr>
      <t xml:space="preserve">规格</t>
    </r>
    <r>
      <rPr>
        <sz val="9"/>
        <rFont val="宋体"/>
        <family val="0"/>
        <charset val="1"/>
      </rPr>
      <t xml:space="preserve">:De63
</t>
    </r>
    <r>
      <rPr>
        <sz val="9"/>
        <color rgb="FF1F4E79"/>
        <rFont val="Arial"/>
        <family val="0"/>
        <charset val="1"/>
      </rPr>
      <t xml:space="preserve">3. Quy cách: De63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4. Hình thức kết nối: dán keo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5. Yêu cầu thiết kế về thử áp lực và thổi, rửa: theo yêu cầu quy phạm thiết kế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</si>
  <si>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9"/>
        <rFont val="宋体"/>
        <family val="0"/>
        <charset val="1"/>
      </rPr>
      <t xml:space="preserve">1.</t>
    </r>
    <r>
      <rPr>
        <sz val="9"/>
        <rFont val="WenQuanYi Zen Hei"/>
        <family val="2"/>
      </rPr>
      <t xml:space="preserve">介质</t>
    </r>
    <r>
      <rPr>
        <sz val="9"/>
        <rFont val="宋体"/>
        <family val="0"/>
        <charset val="1"/>
      </rPr>
      <t xml:space="preserve">:</t>
    </r>
    <r>
      <rPr>
        <sz val="9"/>
        <rFont val="WenQuanYi Zen Hei"/>
        <family val="2"/>
      </rPr>
      <t xml:space="preserve">排水
</t>
    </r>
    <r>
      <rPr>
        <sz val="9"/>
        <color rgb="FF1F4E79"/>
        <rFont val="Arial"/>
        <family val="0"/>
        <charset val="1"/>
      </rPr>
      <t xml:space="preserve">1. Môi chất: thoát nước
</t>
    </r>
    <r>
      <rPr>
        <sz val="9"/>
        <rFont val="宋体"/>
        <family val="0"/>
        <charset val="1"/>
      </rPr>
      <t xml:space="preserve">2.</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2. Vật liệu: ống cấp nước PVC
</t>
    </r>
    <r>
      <rPr>
        <sz val="9"/>
        <rFont val="宋体"/>
        <family val="0"/>
        <charset val="1"/>
      </rPr>
      <t xml:space="preserve">3.</t>
    </r>
    <r>
      <rPr>
        <sz val="9"/>
        <rFont val="WenQuanYi Zen Hei"/>
        <family val="2"/>
      </rPr>
      <t xml:space="preserve">规格</t>
    </r>
    <r>
      <rPr>
        <sz val="9"/>
        <rFont val="宋体"/>
        <family val="0"/>
        <charset val="1"/>
      </rPr>
      <t xml:space="preserve">:De40
</t>
    </r>
    <r>
      <rPr>
        <sz val="9"/>
        <color rgb="FF1F4E79"/>
        <rFont val="Arial"/>
        <family val="0"/>
        <charset val="1"/>
      </rPr>
      <t xml:space="preserve">3. Quy cách: De40
</t>
    </r>
    <r>
      <rPr>
        <sz val="9"/>
        <rFont val="宋体"/>
        <family val="0"/>
        <charset val="1"/>
      </rPr>
      <t xml:space="preserve">4.</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4. Hình thức kết nối: dán keo
</t>
    </r>
    <r>
      <rPr>
        <sz val="9"/>
        <rFont val="宋体"/>
        <family val="0"/>
        <charset val="1"/>
      </rPr>
      <t xml:space="preserve">5.</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5. Yêu cầu thiết kế về thử áp lực và thổi, rửa: theo yêu cầu quy phạm thiết kế
</t>
    </r>
    <r>
      <rPr>
        <sz val="9"/>
        <rFont val="宋体"/>
        <family val="0"/>
        <charset val="1"/>
      </rPr>
      <t xml:space="preserve">6.</t>
    </r>
    <r>
      <rPr>
        <sz val="9"/>
        <rFont val="WenQuanYi Zen Hei"/>
        <family val="2"/>
      </rPr>
      <t xml:space="preserve">含连接管件
</t>
    </r>
    <r>
      <rPr>
        <sz val="9"/>
        <color rgb="FF1F4E79"/>
        <rFont val="Arial"/>
        <family val="0"/>
        <charset val="1"/>
      </rPr>
      <t xml:space="preserve">6. Bao gồm phụ kiện nối ống
</t>
    </r>
    <r>
      <rPr>
        <sz val="9"/>
        <rFont val="宋体"/>
        <family val="0"/>
        <charset val="1"/>
      </rPr>
      <t xml:space="preserve">7.</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7. Khác: phù hợp với yêu cầu của bản vẽ thiết kế và quy phạm thi công</t>
    </r>
  </si>
  <si>
    <r>
      <rPr>
        <sz val="10"/>
        <rFont val="WenQuanYi Zen Hei"/>
        <family val="2"/>
      </rPr>
      <t xml:space="preserve">冷凝水排水管
</t>
    </r>
    <r>
      <rPr>
        <sz val="10"/>
        <color rgb="FF1F4E79"/>
        <rFont val="Arial"/>
        <family val="0"/>
        <charset val="1"/>
      </rPr>
      <t xml:space="preserve">Ống thoát nước ngưng</t>
    </r>
  </si>
  <si>
    <r>
      <rPr>
        <sz val="10"/>
        <rFont val="宋体"/>
        <family val="0"/>
        <charset val="1"/>
      </rPr>
      <t xml:space="preserve">1.</t>
    </r>
    <r>
      <rPr>
        <sz val="10"/>
        <rFont val="WenQuanYi Zen Hei"/>
        <family val="2"/>
      </rPr>
      <t xml:space="preserve">材质</t>
    </r>
    <r>
      <rPr>
        <sz val="10"/>
        <rFont val="宋体"/>
        <family val="0"/>
        <charset val="1"/>
      </rPr>
      <t xml:space="preserve">:PVC</t>
    </r>
    <r>
      <rPr>
        <sz val="10"/>
        <rFont val="WenQuanYi Zen Hei"/>
        <family val="2"/>
      </rPr>
      <t xml:space="preserve">给水管
</t>
    </r>
    <r>
      <rPr>
        <sz val="10"/>
        <color rgb="FF1F4E79"/>
        <rFont val="Arial"/>
        <family val="0"/>
        <charset val="1"/>
      </rPr>
      <t xml:space="preserve">1. Vật liệu: ống cấp nước PVC
</t>
    </r>
    <r>
      <rPr>
        <sz val="10"/>
        <rFont val="宋体"/>
        <family val="0"/>
        <charset val="1"/>
      </rPr>
      <t xml:space="preserve">2.</t>
    </r>
    <r>
      <rPr>
        <sz val="10"/>
        <rFont val="WenQuanYi Zen Hei"/>
        <family val="2"/>
      </rPr>
      <t xml:space="preserve">规格</t>
    </r>
    <r>
      <rPr>
        <sz val="10"/>
        <rFont val="宋体"/>
        <family val="0"/>
        <charset val="1"/>
      </rPr>
      <t xml:space="preserve">:De40
</t>
    </r>
    <r>
      <rPr>
        <sz val="10"/>
        <color rgb="FF1F4E79"/>
        <rFont val="Arial"/>
        <family val="0"/>
        <charset val="1"/>
      </rPr>
      <t xml:space="preserve">2. Quy cách: De40
</t>
    </r>
    <r>
      <rPr>
        <sz val="10"/>
        <rFont val="宋体"/>
        <family val="0"/>
        <charset val="1"/>
      </rPr>
      <t xml:space="preserve">3.</t>
    </r>
    <r>
      <rPr>
        <sz val="10"/>
        <rFont val="WenQuanYi Zen Hei"/>
        <family val="2"/>
      </rPr>
      <t xml:space="preserve">连接形式</t>
    </r>
    <r>
      <rPr>
        <sz val="10"/>
        <rFont val="宋体"/>
        <family val="0"/>
        <charset val="1"/>
      </rPr>
      <t xml:space="preserve">:</t>
    </r>
    <r>
      <rPr>
        <sz val="10"/>
        <rFont val="WenQuanYi Zen Hei"/>
        <family val="2"/>
      </rPr>
      <t xml:space="preserve">粘接
</t>
    </r>
    <r>
      <rPr>
        <sz val="10"/>
        <color rgb="FF1F4E79"/>
        <rFont val="Arial"/>
        <family val="0"/>
        <charset val="1"/>
      </rPr>
      <t xml:space="preserve">3. Hình thức kết nối: dán keo
</t>
    </r>
    <r>
      <rPr>
        <sz val="10"/>
        <rFont val="宋体"/>
        <family val="0"/>
        <charset val="1"/>
      </rPr>
      <t xml:space="preserve">4.</t>
    </r>
    <r>
      <rPr>
        <sz val="10"/>
        <rFont val="WenQuanYi Zen Hei"/>
        <family val="2"/>
      </rPr>
      <t xml:space="preserve">保温层</t>
    </r>
    <r>
      <rPr>
        <sz val="10"/>
        <rFont val="宋体"/>
        <family val="0"/>
        <charset val="1"/>
      </rPr>
      <t xml:space="preserve">:</t>
    </r>
    <r>
      <rPr>
        <sz val="10"/>
        <rFont val="WenQuanYi Zen Hei"/>
        <family val="2"/>
      </rPr>
      <t xml:space="preserve">难燃</t>
    </r>
    <r>
      <rPr>
        <sz val="10"/>
        <rFont val="宋体"/>
        <family val="0"/>
        <charset val="1"/>
      </rPr>
      <t xml:space="preserve">(B1</t>
    </r>
    <r>
      <rPr>
        <sz val="10"/>
        <rFont val="WenQuanYi Zen Hei"/>
        <family val="2"/>
      </rPr>
      <t xml:space="preserve">级</t>
    </r>
    <r>
      <rPr>
        <sz val="10"/>
        <rFont val="宋体"/>
        <family val="0"/>
        <charset val="1"/>
      </rPr>
      <t xml:space="preserve">)</t>
    </r>
    <r>
      <rPr>
        <sz val="10"/>
        <rFont val="WenQuanYi Zen Hei"/>
        <family val="2"/>
      </rPr>
      <t xml:space="preserve">柔性泡沫橡塑</t>
    </r>
    <r>
      <rPr>
        <sz val="10"/>
        <rFont val="宋体"/>
        <family val="0"/>
        <charset val="1"/>
      </rPr>
      <t xml:space="preserve">δ=15mm
</t>
    </r>
    <r>
      <rPr>
        <sz val="10"/>
        <color rgb="FF1F4E79"/>
        <rFont val="Arial"/>
        <family val="0"/>
        <charset val="1"/>
      </rPr>
      <t xml:space="preserve">4. Lớp bảo ôn: cao su xốp mềm chống cháy (cấp B1) δ=15mm
</t>
    </r>
    <r>
      <rPr>
        <sz val="10"/>
        <rFont val="宋体"/>
        <family val="0"/>
        <charset val="1"/>
      </rPr>
      <t xml:space="preserve">5.</t>
    </r>
    <r>
      <rPr>
        <sz val="10"/>
        <rFont val="WenQuanYi Zen Hei"/>
        <family val="2"/>
      </rPr>
      <t xml:space="preserve">含连接管件
</t>
    </r>
    <r>
      <rPr>
        <sz val="10"/>
        <color rgb="FF1F4E79"/>
        <rFont val="Arial"/>
        <family val="0"/>
        <charset val="1"/>
      </rPr>
      <t xml:space="preserve">5. Bao gồm phụ kiện nối ống
</t>
    </r>
    <r>
      <rPr>
        <sz val="10"/>
        <rFont val="宋体"/>
        <family val="0"/>
        <charset val="1"/>
      </rPr>
      <t xml:space="preserve">6.</t>
    </r>
    <r>
      <rPr>
        <sz val="10"/>
        <rFont val="WenQuanYi Zen Hei"/>
        <family val="2"/>
      </rPr>
      <t xml:space="preserve">其他</t>
    </r>
    <r>
      <rPr>
        <sz val="10"/>
        <rFont val="宋体"/>
        <family val="0"/>
        <charset val="1"/>
      </rPr>
      <t xml:space="preserve">:</t>
    </r>
    <r>
      <rPr>
        <sz val="10"/>
        <rFont val="WenQuanYi Zen Hei"/>
        <family val="2"/>
      </rPr>
      <t xml:space="preserve">符合设计图纸以及施工规范要求
</t>
    </r>
    <r>
      <rPr>
        <sz val="10"/>
        <color rgb="FF1F4E79"/>
        <rFont val="Arial"/>
        <family val="0"/>
        <charset val="1"/>
      </rPr>
      <t xml:space="preserve">6. Khác: phù hợp với yêu cầu của bản vẽ thiết kế và quy phạm thi công</t>
    </r>
  </si>
  <si>
    <r>
      <rPr>
        <sz val="10"/>
        <rFont val="宋体"/>
        <family val="0"/>
        <charset val="1"/>
      </rPr>
      <t xml:space="preserve">PVC</t>
    </r>
    <r>
      <rPr>
        <sz val="10"/>
        <rFont val="WenQuanYi Zen Hei"/>
        <family val="2"/>
      </rPr>
      <t xml:space="preserve">管：联塑、日丰
</t>
    </r>
    <r>
      <rPr>
        <sz val="10"/>
        <color rgb="FF1F4E79"/>
        <rFont val="Arial"/>
        <family val="0"/>
        <charset val="1"/>
      </rPr>
      <t xml:space="preserve">Ống PVC: Lesso, Rifeng
</t>
    </r>
    <r>
      <rPr>
        <sz val="10"/>
        <rFont val="WenQuanYi Zen Hei"/>
        <family val="2"/>
      </rPr>
      <t xml:space="preserve">保温：</t>
    </r>
    <r>
      <rPr>
        <sz val="10"/>
        <rFont val="宋体"/>
        <family val="0"/>
        <charset val="1"/>
      </rPr>
      <t xml:space="preserve">Ord,</t>
    </r>
    <r>
      <rPr>
        <sz val="10"/>
        <rFont val="WenQuanYi Zen Hei"/>
        <family val="2"/>
      </rPr>
      <t xml:space="preserve">贝柠、华美、派柏士
</t>
    </r>
    <r>
      <rPr>
        <sz val="10"/>
        <color rgb="FF1F4E79"/>
        <rFont val="Arial"/>
        <family val="0"/>
        <charset val="1"/>
      </rPr>
      <t xml:space="preserve">Bảo ôn: Ord, Beining, Huamei, Paibaishi</t>
    </r>
  </si>
  <si>
    <r>
      <rPr>
        <sz val="10"/>
        <rFont val="宋体"/>
        <family val="0"/>
        <charset val="1"/>
      </rPr>
      <t xml:space="preserve">1.</t>
    </r>
    <r>
      <rPr>
        <sz val="10"/>
        <rFont val="WenQuanYi Zen Hei"/>
        <family val="2"/>
      </rPr>
      <t xml:space="preserve">材质</t>
    </r>
    <r>
      <rPr>
        <sz val="10"/>
        <rFont val="宋体"/>
        <family val="0"/>
        <charset val="1"/>
      </rPr>
      <t xml:space="preserve">:PVC</t>
    </r>
    <r>
      <rPr>
        <sz val="10"/>
        <rFont val="WenQuanYi Zen Hei"/>
        <family val="2"/>
      </rPr>
      <t xml:space="preserve">给水管
</t>
    </r>
    <r>
      <rPr>
        <sz val="10"/>
        <color rgb="FF1F4E79"/>
        <rFont val="Arial"/>
        <family val="0"/>
        <charset val="1"/>
      </rPr>
      <t xml:space="preserve">1. Vật liệu: ống cấp nước PVC
</t>
    </r>
    <r>
      <rPr>
        <sz val="10"/>
        <rFont val="宋体"/>
        <family val="0"/>
        <charset val="1"/>
      </rPr>
      <t xml:space="preserve">2.</t>
    </r>
    <r>
      <rPr>
        <sz val="10"/>
        <rFont val="WenQuanYi Zen Hei"/>
        <family val="2"/>
      </rPr>
      <t xml:space="preserve">规格</t>
    </r>
    <r>
      <rPr>
        <sz val="10"/>
        <rFont val="宋体"/>
        <family val="0"/>
        <charset val="1"/>
      </rPr>
      <t xml:space="preserve">:De25
</t>
    </r>
    <r>
      <rPr>
        <sz val="10"/>
        <color rgb="FF1F4E79"/>
        <rFont val="Arial"/>
        <family val="0"/>
        <charset val="1"/>
      </rPr>
      <t xml:space="preserve">2. Quy cách: De25
</t>
    </r>
    <r>
      <rPr>
        <sz val="10"/>
        <rFont val="宋体"/>
        <family val="0"/>
        <charset val="1"/>
      </rPr>
      <t xml:space="preserve">3.</t>
    </r>
    <r>
      <rPr>
        <sz val="10"/>
        <rFont val="WenQuanYi Zen Hei"/>
        <family val="2"/>
      </rPr>
      <t xml:space="preserve">连接形式</t>
    </r>
    <r>
      <rPr>
        <sz val="10"/>
        <rFont val="宋体"/>
        <family val="0"/>
        <charset val="1"/>
      </rPr>
      <t xml:space="preserve">:</t>
    </r>
    <r>
      <rPr>
        <sz val="10"/>
        <rFont val="WenQuanYi Zen Hei"/>
        <family val="2"/>
      </rPr>
      <t xml:space="preserve">粘接
</t>
    </r>
    <r>
      <rPr>
        <sz val="10"/>
        <color rgb="FF1F4E79"/>
        <rFont val="Arial"/>
        <family val="0"/>
        <charset val="1"/>
      </rPr>
      <t xml:space="preserve">3. Hình thức kết nối: dán keo
</t>
    </r>
    <r>
      <rPr>
        <sz val="10"/>
        <rFont val="宋体"/>
        <family val="0"/>
        <charset val="1"/>
      </rPr>
      <t xml:space="preserve">4.</t>
    </r>
    <r>
      <rPr>
        <sz val="10"/>
        <rFont val="WenQuanYi Zen Hei"/>
        <family val="2"/>
      </rPr>
      <t xml:space="preserve">保温层</t>
    </r>
    <r>
      <rPr>
        <sz val="10"/>
        <rFont val="宋体"/>
        <family val="0"/>
        <charset val="1"/>
      </rPr>
      <t xml:space="preserve">:</t>
    </r>
    <r>
      <rPr>
        <sz val="10"/>
        <rFont val="WenQuanYi Zen Hei"/>
        <family val="2"/>
      </rPr>
      <t xml:space="preserve">难燃</t>
    </r>
    <r>
      <rPr>
        <sz val="10"/>
        <rFont val="宋体"/>
        <family val="0"/>
        <charset val="1"/>
      </rPr>
      <t xml:space="preserve">(B1</t>
    </r>
    <r>
      <rPr>
        <sz val="10"/>
        <rFont val="WenQuanYi Zen Hei"/>
        <family val="2"/>
      </rPr>
      <t xml:space="preserve">级</t>
    </r>
    <r>
      <rPr>
        <sz val="10"/>
        <rFont val="宋体"/>
        <family val="0"/>
        <charset val="1"/>
      </rPr>
      <t xml:space="preserve">)</t>
    </r>
    <r>
      <rPr>
        <sz val="10"/>
        <rFont val="WenQuanYi Zen Hei"/>
        <family val="2"/>
      </rPr>
      <t xml:space="preserve">柔性泡沫橡塑</t>
    </r>
    <r>
      <rPr>
        <sz val="10"/>
        <rFont val="宋体"/>
        <family val="0"/>
        <charset val="1"/>
      </rPr>
      <t xml:space="preserve">δ=15mm
</t>
    </r>
    <r>
      <rPr>
        <sz val="10"/>
        <color rgb="FF1F4E79"/>
        <rFont val="Arial"/>
        <family val="0"/>
        <charset val="1"/>
      </rPr>
      <t xml:space="preserve">4. Lớp bảo ôn: cao su xốp mềm chống cháy (cấp B1) δ=15mm
</t>
    </r>
    <r>
      <rPr>
        <sz val="10"/>
        <rFont val="宋体"/>
        <family val="0"/>
        <charset val="1"/>
      </rPr>
      <t xml:space="preserve">5.</t>
    </r>
    <r>
      <rPr>
        <sz val="10"/>
        <rFont val="WenQuanYi Zen Hei"/>
        <family val="2"/>
      </rPr>
      <t xml:space="preserve">含连接管件
</t>
    </r>
    <r>
      <rPr>
        <sz val="10"/>
        <color rgb="FF1F4E79"/>
        <rFont val="Arial"/>
        <family val="0"/>
        <charset val="1"/>
      </rPr>
      <t xml:space="preserve">5. Bao gồm phụ kiện nối ống
</t>
    </r>
    <r>
      <rPr>
        <sz val="10"/>
        <rFont val="宋体"/>
        <family val="0"/>
        <charset val="1"/>
      </rPr>
      <t xml:space="preserve">6.</t>
    </r>
    <r>
      <rPr>
        <sz val="10"/>
        <rFont val="WenQuanYi Zen Hei"/>
        <family val="2"/>
      </rPr>
      <t xml:space="preserve">其他</t>
    </r>
    <r>
      <rPr>
        <sz val="10"/>
        <rFont val="宋体"/>
        <family val="0"/>
        <charset val="1"/>
      </rPr>
      <t xml:space="preserve">:</t>
    </r>
    <r>
      <rPr>
        <sz val="10"/>
        <rFont val="WenQuanYi Zen Hei"/>
        <family val="2"/>
      </rPr>
      <t xml:space="preserve">符合设计图纸以及施工规范要求
</t>
    </r>
    <r>
      <rPr>
        <sz val="10"/>
        <color rgb="FF1F4E79"/>
        <rFont val="Arial"/>
        <family val="0"/>
        <charset val="1"/>
      </rPr>
      <t xml:space="preserve">6. Khác: phù hợp với yêu cầu của bản vẽ thiết kế và quy phạm thi công</t>
    </r>
  </si>
  <si>
    <r>
      <rPr>
        <sz val="9"/>
        <rFont val="WenQuanYi Zen Hei"/>
        <family val="2"/>
      </rPr>
      <t xml:space="preserve">管道支架
</t>
    </r>
    <r>
      <rPr>
        <sz val="9"/>
        <color rgb="FF1F4E79"/>
        <rFont val="Arial"/>
        <family val="0"/>
        <charset val="1"/>
      </rPr>
      <t xml:space="preserve">Giá đỡ đường ống</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</si>
  <si>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碳钢</t>
    </r>
    <r>
      <rPr>
        <sz val="9"/>
        <rFont val="宋体"/>
        <family val="0"/>
        <charset val="1"/>
      </rPr>
      <t xml:space="preserve">(</t>
    </r>
    <r>
      <rPr>
        <sz val="9"/>
        <rFont val="WenQuanYi Zen Hei"/>
        <family val="2"/>
      </rPr>
      <t xml:space="preserve">型钢综合</t>
    </r>
    <r>
      <rPr>
        <sz val="9"/>
        <rFont val="宋体"/>
        <family val="0"/>
        <charset val="1"/>
      </rPr>
      <t xml:space="preserve">) 
</t>
    </r>
    <r>
      <rPr>
        <sz val="9"/>
        <color rgb="FF1F4E79"/>
        <rFont val="Arial"/>
        <family val="0"/>
        <charset val="1"/>
      </rPr>
      <t xml:space="preserve">2. Vật liệu: thép cacbon (thép hình tổng hợp)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</si>
  <si>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t xml:space="preserve">kg</t>
  </si>
  <si>
    <r>
      <rPr>
        <sz val="9"/>
        <rFont val="WenQuanYi Zen Hei"/>
        <family val="2"/>
      </rPr>
      <t xml:space="preserve">国标
</t>
    </r>
    <r>
      <rPr>
        <sz val="9"/>
        <color rgb="FF1F4E79"/>
        <rFont val="Arial"/>
        <family val="0"/>
        <charset val="1"/>
      </rPr>
      <t xml:space="preserve">Tiêu chuẩn quốc gia</t>
    </r>
  </si>
  <si>
    <r>
      <rPr>
        <sz val="9"/>
        <rFont val="WenQuanYi Zen Hei"/>
        <family val="2"/>
      </rPr>
      <t xml:space="preserve">温差旁通阀
</t>
    </r>
    <r>
      <rPr>
        <sz val="9"/>
        <color rgb="FF1F4E79"/>
        <rFont val="Arial"/>
        <family val="0"/>
        <charset val="1"/>
      </rPr>
      <t xml:space="preserve">Van bypass chênh lệch nhiệt độ</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</si>
  <si>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温差旁通阀
</t>
    </r>
    <r>
      <rPr>
        <sz val="9"/>
        <color rgb="FF1F4E79"/>
        <rFont val="Arial"/>
        <family val="0"/>
        <charset val="1"/>
      </rPr>
      <t xml:space="preserve">1. Loại: van bypass chênh lệch nhiệt độ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3. Hình thức kết nối: nối mặt bích                     4. Khác: phù hợp với yêu cầu của bản vẽ thiết kế và quy phạm thi công</t>
    </r>
  </si>
  <si>
    <r>
      <rPr>
        <sz val="9"/>
        <rFont val="WenQuanYi Zen Hei"/>
        <family val="2"/>
      </rPr>
      <t xml:space="preserve">个
</t>
    </r>
    <r>
      <rPr>
        <sz val="9"/>
        <color rgb="FF1F4E79"/>
        <rFont val="Arial"/>
        <family val="0"/>
        <charset val="1"/>
      </rPr>
      <t xml:space="preserve">Cái</t>
    </r>
  </si>
  <si>
    <r>
      <rPr>
        <sz val="9"/>
        <rFont val="WenQuanYi Zen Hei"/>
        <family val="2"/>
      </rPr>
      <t xml:space="preserve">江森、霍尼韦尔、西门子
</t>
    </r>
    <r>
      <rPr>
        <sz val="9"/>
        <color rgb="FF1F4E79"/>
        <rFont val="Arial"/>
        <family val="0"/>
        <charset val="1"/>
      </rPr>
      <t xml:space="preserve">Johnson Controls, Honeywell, Siemens</t>
    </r>
  </si>
  <si>
    <r>
      <rPr>
        <sz val="9"/>
        <rFont val="WenQuanYi Zen Hei"/>
        <family val="2"/>
      </rPr>
      <t xml:space="preserve">电动压差旁通阀
</t>
    </r>
    <r>
      <rPr>
        <sz val="9"/>
        <color rgb="FF1F4E79"/>
        <rFont val="Arial"/>
        <family val="0"/>
        <charset val="1"/>
      </rPr>
      <t xml:space="preserve">Van bypass chênh áp điện</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</si>
  <si>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电动压差旁通阀
</t>
    </r>
    <r>
      <rPr>
        <sz val="9"/>
        <color rgb="FF1F4E79"/>
        <rFont val="Arial"/>
        <family val="0"/>
        <charset val="1"/>
      </rPr>
      <t xml:space="preserve">1. Loại: van bypass chênh áp điện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</si>
  <si>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电动二通阀
</t>
    </r>
    <r>
      <rPr>
        <sz val="9"/>
        <color rgb="FF1F4E79"/>
        <rFont val="Arial"/>
        <family val="0"/>
        <charset val="1"/>
      </rPr>
      <t xml:space="preserve">Van điện hai ngả</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</si>
  <si>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电动二通阀 
</t>
    </r>
    <r>
      <rPr>
        <sz val="9"/>
        <color rgb="FF1F4E79"/>
        <rFont val="Arial"/>
        <family val="0"/>
        <charset val="1"/>
      </rPr>
      <t xml:space="preserve">1. Loại: van điện hai ngả
</t>
    </r>
    <r>
      <rPr>
        <sz val="9"/>
        <rFont val="宋体"/>
        <family val="0"/>
        <charset val="1"/>
      </rPr>
      <t xml:space="preserve">2.</t>
    </r>
    <r>
      <rPr>
        <sz val="9"/>
        <rFont val="WenQuanYi Zen Hei"/>
        <family val="2"/>
      </rPr>
      <t xml:space="preserve">规格</t>
    </r>
    <r>
      <rPr>
        <sz val="9"/>
        <rFont val="宋体"/>
        <family val="0"/>
        <charset val="1"/>
      </rPr>
      <t xml:space="preserve">:DN20
</t>
    </r>
    <r>
      <rPr>
        <sz val="9"/>
        <color rgb="FF1F4E79"/>
        <rFont val="Arial"/>
        <family val="0"/>
        <charset val="1"/>
      </rPr>
      <t xml:space="preserve">2. Quy cách: DN20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</si>
  <si>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电动蝶阀
</t>
    </r>
    <r>
      <rPr>
        <sz val="9"/>
        <color rgb="FF1F4E79"/>
        <rFont val="Arial"/>
        <family val="0"/>
        <charset val="1"/>
      </rPr>
      <t xml:space="preserve">Van bướm điện</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</si>
  <si>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电动蝶阀 
</t>
    </r>
    <r>
      <rPr>
        <sz val="9"/>
        <color rgb="FF1F4E79"/>
        <rFont val="Arial"/>
        <family val="0"/>
        <charset val="1"/>
      </rPr>
      <t xml:space="preserve">1. Loại: van bướm điện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</si>
  <si>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电动蝶阀 
</t>
    </r>
    <r>
      <rPr>
        <sz val="9"/>
        <color rgb="FF1F4E79"/>
        <rFont val="Arial"/>
        <family val="0"/>
        <charset val="1"/>
      </rPr>
      <t xml:space="preserve">1. Loại: van bướm điện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</si>
  <si>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静态平衡阀
</t>
    </r>
    <r>
      <rPr>
        <sz val="9"/>
        <color rgb="FF1F4E79"/>
        <rFont val="Arial"/>
        <family val="0"/>
        <charset val="1"/>
      </rPr>
      <t xml:space="preserve">Van cân bằng tĩnh</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</si>
  <si>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静态平衡阀
</t>
    </r>
    <r>
      <rPr>
        <sz val="9"/>
        <color rgb="FF1F4E79"/>
        <rFont val="Arial"/>
        <family val="0"/>
        <charset val="1"/>
      </rPr>
      <t xml:space="preserve">1. Loại: van cân bằng tĩnh
</t>
    </r>
    <r>
      <rPr>
        <sz val="9"/>
        <rFont val="宋体"/>
        <family val="0"/>
        <charset val="1"/>
      </rPr>
      <t xml:space="preserve">2.</t>
    </r>
    <r>
      <rPr>
        <sz val="9"/>
        <rFont val="WenQuanYi Zen Hei"/>
        <family val="2"/>
      </rPr>
      <t xml:space="preserve">规格</t>
    </r>
    <r>
      <rPr>
        <sz val="9"/>
        <rFont val="宋体"/>
        <family val="0"/>
        <charset val="1"/>
      </rPr>
      <t xml:space="preserve">:DN350
</t>
    </r>
    <r>
      <rPr>
        <sz val="9"/>
        <color rgb="FF1F4E79"/>
        <rFont val="Arial"/>
        <family val="0"/>
        <charset val="1"/>
      </rPr>
      <t xml:space="preserve">2. Quy cách: DN350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</si>
  <si>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塘沽利盾、塘沽申瑞德、塘沽富恒星
</t>
    </r>
    <r>
      <rPr>
        <sz val="9"/>
        <color rgb="FF1F4E79"/>
        <rFont val="Arial"/>
        <family val="0"/>
        <charset val="1"/>
      </rPr>
      <t xml:space="preserve">Tanggu Lidun, Tanggu Shenruide, Tanggu Fuhengxing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</si>
  <si>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静态平衡阀
</t>
    </r>
    <r>
      <rPr>
        <sz val="9"/>
        <color rgb="FF1F4E79"/>
        <rFont val="Arial"/>
        <family val="0"/>
        <charset val="1"/>
      </rPr>
      <t xml:space="preserve">1. Loại: van cân bằng tĩnh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</si>
  <si>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静态平衡阀
</t>
    </r>
    <r>
      <rPr>
        <sz val="9"/>
        <color rgb="FF1F4E79"/>
        <rFont val="Arial"/>
        <family val="0"/>
        <charset val="1"/>
      </rPr>
      <t xml:space="preserve">1. Loại: van cân bằng tĩnh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</si>
  <si>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静态平衡阀
</t>
    </r>
    <r>
      <rPr>
        <sz val="9"/>
        <color rgb="FF1F4E79"/>
        <rFont val="Arial"/>
        <family val="0"/>
        <charset val="1"/>
      </rPr>
      <t xml:space="preserve">1. Loại: van cân bằng tĩnh
</t>
    </r>
    <r>
      <rPr>
        <sz val="9"/>
        <rFont val="宋体"/>
        <family val="0"/>
        <charset val="1"/>
      </rPr>
      <t xml:space="preserve">2.</t>
    </r>
    <r>
      <rPr>
        <sz val="9"/>
        <rFont val="WenQuanYi Zen Hei"/>
        <family val="2"/>
      </rPr>
      <t xml:space="preserve">规格</t>
    </r>
    <r>
      <rPr>
        <sz val="9"/>
        <rFont val="宋体"/>
        <family val="0"/>
        <charset val="1"/>
      </rPr>
      <t xml:space="preserve">:DN125
</t>
    </r>
    <r>
      <rPr>
        <sz val="9"/>
        <color rgb="FF1F4E79"/>
        <rFont val="Arial"/>
        <family val="0"/>
        <charset val="1"/>
      </rPr>
      <t xml:space="preserve">2. Quy cách: DN125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</si>
  <si>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蜗轮对夹式蝶阀
</t>
    </r>
    <r>
      <rPr>
        <sz val="9"/>
        <color rgb="FF1F4E79"/>
        <rFont val="Arial"/>
        <family val="0"/>
        <charset val="1"/>
      </rPr>
      <t xml:space="preserve">Van bướm kẹp (wafer) tay quay hộp số</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</si>
  <si>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:DN600
</t>
    </r>
    <r>
      <rPr>
        <sz val="9"/>
        <color rgb="FF1F4E79"/>
        <rFont val="Arial"/>
        <family val="0"/>
        <charset val="1"/>
      </rPr>
      <t xml:space="preserve">2. Quy cách: DN600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</si>
  <si>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:DN500
</t>
    </r>
    <r>
      <rPr>
        <sz val="9"/>
        <color rgb="FF1F4E79"/>
        <rFont val="Arial"/>
        <family val="0"/>
        <charset val="1"/>
      </rPr>
      <t xml:space="preserve">2. Quy cách: DN500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</si>
  <si>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:DN350
</t>
    </r>
    <r>
      <rPr>
        <sz val="9"/>
        <color rgb="FF1F4E79"/>
        <rFont val="Arial"/>
        <family val="0"/>
        <charset val="1"/>
      </rPr>
      <t xml:space="preserve">2. Quy cách: DN350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</si>
  <si>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</si>
  <si>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</si>
  <si>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:DN200
</t>
    </r>
    <r>
      <rPr>
        <sz val="9"/>
        <color rgb="FF1F4E79"/>
        <rFont val="Arial"/>
        <family val="0"/>
        <charset val="1"/>
      </rPr>
      <t xml:space="preserve">2. Quy cách: DN200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</si>
  <si>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:DN150
</t>
    </r>
    <r>
      <rPr>
        <sz val="9"/>
        <color rgb="FF1F4E79"/>
        <rFont val="Arial"/>
        <family val="0"/>
        <charset val="1"/>
      </rPr>
      <t xml:space="preserve">2. Quy cách: DN150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</si>
  <si>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:DN125
</t>
    </r>
    <r>
      <rPr>
        <sz val="9"/>
        <color rgb="FF1F4E79"/>
        <rFont val="Arial"/>
        <family val="0"/>
        <charset val="1"/>
      </rPr>
      <t xml:space="preserve">2. Quy cách: DN125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</si>
  <si>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:DN100
</t>
    </r>
    <r>
      <rPr>
        <sz val="9"/>
        <color rgb="FF1F4E79"/>
        <rFont val="Arial"/>
        <family val="0"/>
        <charset val="1"/>
      </rPr>
      <t xml:space="preserve">2. Quy cách: DN100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</si>
  <si>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铜闸阀
</t>
    </r>
    <r>
      <rPr>
        <sz val="9"/>
        <color rgb="FF1F4E79"/>
        <rFont val="Arial"/>
        <family val="0"/>
        <charset val="1"/>
      </rPr>
      <t xml:space="preserve">Van cổng bằng đồng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</si>
  <si>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铜闸阀
</t>
    </r>
    <r>
      <rPr>
        <sz val="9"/>
        <color rgb="FF1F4E79"/>
        <rFont val="Arial"/>
        <family val="0"/>
        <charset val="1"/>
      </rPr>
      <t xml:space="preserve">1. Loại: van cổng bằng đồng
</t>
    </r>
    <r>
      <rPr>
        <sz val="9"/>
        <rFont val="宋体"/>
        <family val="0"/>
        <charset val="1"/>
      </rPr>
      <t xml:space="preserve">2.</t>
    </r>
    <r>
      <rPr>
        <sz val="9"/>
        <rFont val="WenQuanYi Zen Hei"/>
        <family val="2"/>
      </rPr>
      <t xml:space="preserve">规格</t>
    </r>
    <r>
      <rPr>
        <sz val="9"/>
        <rFont val="宋体"/>
        <family val="0"/>
        <charset val="1"/>
      </rPr>
      <t xml:space="preserve">:DN50
</t>
    </r>
    <r>
      <rPr>
        <sz val="9"/>
        <color rgb="FF1F4E79"/>
        <rFont val="Arial"/>
        <family val="0"/>
        <charset val="1"/>
      </rPr>
      <t xml:space="preserve">2. Quy cách: DN50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</si>
  <si>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埃美柯、塘沽利盾、塘沽申瑞德、塘沽富恒星
</t>
    </r>
    <r>
      <rPr>
        <sz val="9"/>
        <color rgb="FF1F4E79"/>
        <rFont val="Arial"/>
        <family val="0"/>
        <charset val="1"/>
      </rPr>
      <t xml:space="preserve">AMICO, Tanggu Lidun, Tanggu Shenruide, Tanggu Fuhengxing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</si>
  <si>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铜闸阀
</t>
    </r>
    <r>
      <rPr>
        <sz val="9"/>
        <color rgb="FF1F4E79"/>
        <rFont val="Arial"/>
        <family val="0"/>
        <charset val="1"/>
      </rPr>
      <t xml:space="preserve">1. Loại: van cổng bằng đồng
</t>
    </r>
    <r>
      <rPr>
        <sz val="9"/>
        <rFont val="宋体"/>
        <family val="0"/>
        <charset val="1"/>
      </rPr>
      <t xml:space="preserve">2.</t>
    </r>
    <r>
      <rPr>
        <sz val="9"/>
        <rFont val="WenQuanYi Zen Hei"/>
        <family val="2"/>
      </rPr>
      <t xml:space="preserve">规格</t>
    </r>
    <r>
      <rPr>
        <sz val="9"/>
        <rFont val="宋体"/>
        <family val="0"/>
        <charset val="1"/>
      </rPr>
      <t xml:space="preserve">:DN40
</t>
    </r>
    <r>
      <rPr>
        <sz val="9"/>
        <color rgb="FF1F4E79"/>
        <rFont val="Arial"/>
        <family val="0"/>
        <charset val="1"/>
      </rPr>
      <t xml:space="preserve">2. Quy cách: DN40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</si>
  <si>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铜闸阀
</t>
    </r>
    <r>
      <rPr>
        <sz val="9"/>
        <color rgb="FF1F4E79"/>
        <rFont val="Arial"/>
        <family val="0"/>
        <charset val="1"/>
      </rPr>
      <t xml:space="preserve">1. Loại: van cổng bằng đồng
</t>
    </r>
    <r>
      <rPr>
        <sz val="9"/>
        <rFont val="宋体"/>
        <family val="0"/>
        <charset val="1"/>
      </rPr>
      <t xml:space="preserve">2.</t>
    </r>
    <r>
      <rPr>
        <sz val="9"/>
        <rFont val="WenQuanYi Zen Hei"/>
        <family val="2"/>
      </rPr>
      <t xml:space="preserve">规格</t>
    </r>
    <r>
      <rPr>
        <sz val="9"/>
        <rFont val="宋体"/>
        <family val="0"/>
        <charset val="1"/>
      </rPr>
      <t xml:space="preserve">:DN32
</t>
    </r>
    <r>
      <rPr>
        <sz val="9"/>
        <color rgb="FF1F4E79"/>
        <rFont val="Arial"/>
        <family val="0"/>
        <charset val="1"/>
      </rPr>
      <t xml:space="preserve">2. Quy cách: DN32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</si>
  <si>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铜闸阀
</t>
    </r>
    <r>
      <rPr>
        <sz val="9"/>
        <color rgb="FF1F4E79"/>
        <rFont val="Arial"/>
        <family val="0"/>
        <charset val="1"/>
      </rPr>
      <t xml:space="preserve">1. Loại: van cổng bằng đồng
</t>
    </r>
    <r>
      <rPr>
        <sz val="9"/>
        <rFont val="宋体"/>
        <family val="0"/>
        <charset val="1"/>
      </rPr>
      <t xml:space="preserve">2.</t>
    </r>
    <r>
      <rPr>
        <sz val="9"/>
        <rFont val="WenQuanYi Zen Hei"/>
        <family val="2"/>
      </rPr>
      <t xml:space="preserve">规格</t>
    </r>
    <r>
      <rPr>
        <sz val="9"/>
        <rFont val="宋体"/>
        <family val="0"/>
        <charset val="1"/>
      </rPr>
      <t xml:space="preserve">:DN25
</t>
    </r>
    <r>
      <rPr>
        <sz val="9"/>
        <color rgb="FF1F4E79"/>
        <rFont val="Arial"/>
        <family val="0"/>
        <charset val="1"/>
      </rPr>
      <t xml:space="preserve">2. Quy cách: DN25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</si>
  <si>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铜闸阀
</t>
    </r>
    <r>
      <rPr>
        <sz val="9"/>
        <color rgb="FF1F4E79"/>
        <rFont val="Arial"/>
        <family val="0"/>
        <charset val="1"/>
      </rPr>
      <t xml:space="preserve">1. Loại: van cổng bằng đồng
</t>
    </r>
    <r>
      <rPr>
        <sz val="9"/>
        <rFont val="宋体"/>
        <family val="0"/>
        <charset val="1"/>
      </rPr>
      <t xml:space="preserve">2.</t>
    </r>
    <r>
      <rPr>
        <sz val="9"/>
        <rFont val="WenQuanYi Zen Hei"/>
        <family val="2"/>
      </rPr>
      <t xml:space="preserve">规格</t>
    </r>
    <r>
      <rPr>
        <sz val="9"/>
        <rFont val="宋体"/>
        <family val="0"/>
        <charset val="1"/>
      </rPr>
      <t xml:space="preserve">:DN20
</t>
    </r>
    <r>
      <rPr>
        <sz val="9"/>
        <color rgb="FF1F4E79"/>
        <rFont val="Arial"/>
        <family val="0"/>
        <charset val="1"/>
      </rPr>
      <t xml:space="preserve">2. Quy cách: DN20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</si>
  <si>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浮球阀
</t>
    </r>
    <r>
      <rPr>
        <sz val="9"/>
        <color rgb="FF1F4E79"/>
        <rFont val="Arial"/>
        <family val="0"/>
        <charset val="1"/>
      </rPr>
      <t xml:space="preserve">Van phao</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</si>
  <si>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浮球阀
</t>
    </r>
    <r>
      <rPr>
        <sz val="9"/>
        <color rgb="FF1F4E79"/>
        <rFont val="Arial"/>
        <family val="0"/>
        <charset val="1"/>
      </rPr>
      <t xml:space="preserve">1. Tên: van phao
</t>
    </r>
    <r>
      <rPr>
        <sz val="9"/>
        <rFont val="宋体"/>
        <family val="0"/>
        <charset val="1"/>
      </rPr>
      <t xml:space="preserve">2.</t>
    </r>
    <r>
      <rPr>
        <sz val="9"/>
        <rFont val="WenQuanYi Zen Hei"/>
        <family val="2"/>
      </rPr>
      <t xml:space="preserve">规格</t>
    </r>
    <r>
      <rPr>
        <sz val="9"/>
        <rFont val="宋体"/>
        <family val="0"/>
        <charset val="1"/>
      </rPr>
      <t xml:space="preserve">:DN25
</t>
    </r>
    <r>
      <rPr>
        <sz val="9"/>
        <color rgb="FF1F4E79"/>
        <rFont val="Arial"/>
        <family val="0"/>
        <charset val="1"/>
      </rPr>
      <t xml:space="preserve">2. Quy cách: DN25
</t>
    </r>
    <r>
      <rPr>
        <sz val="9"/>
        <rFont val="宋体"/>
        <family val="0"/>
        <charset val="1"/>
      </rPr>
      <t xml:space="preserve">3.</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3. Khác: phù hợp với yêu cầu của bản vẽ thiết kế và quy phạm thi công</t>
    </r>
  </si>
  <si>
    <r>
      <rPr>
        <sz val="9"/>
        <rFont val="WenQuanYi Zen Hei"/>
        <family val="2"/>
      </rPr>
      <t xml:space="preserve">角通式过滤器
</t>
    </r>
    <r>
      <rPr>
        <sz val="9"/>
        <color rgb="FF1F4E79"/>
        <rFont val="Arial"/>
        <family val="0"/>
        <charset val="1"/>
      </rPr>
      <t xml:space="preserve">Bộ lọc kiểu góc</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</si>
  <si>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角通式过滤器
</t>
    </r>
    <r>
      <rPr>
        <sz val="9"/>
        <color rgb="FF1F4E79"/>
        <rFont val="Arial"/>
        <family val="0"/>
        <charset val="1"/>
      </rPr>
      <t xml:space="preserve">1. Loại: bộ lọc kiểu góc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</si>
  <si>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橡胶瓣止回阀
</t>
    </r>
    <r>
      <rPr>
        <sz val="9"/>
        <color rgb="FF1F4E79"/>
        <rFont val="Arial"/>
        <family val="0"/>
        <charset val="1"/>
      </rPr>
      <t xml:space="preserve">Van một chiều lá cao su</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</si>
  <si>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橡胶瓣止回阀
</t>
    </r>
    <r>
      <rPr>
        <sz val="9"/>
        <color rgb="FF1F4E79"/>
        <rFont val="Arial"/>
        <family val="0"/>
        <charset val="1"/>
      </rPr>
      <t xml:space="preserve">1. Loại: van một chiều lá cao su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</si>
  <si>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止回阀
</t>
    </r>
    <r>
      <rPr>
        <sz val="9"/>
        <color rgb="FF1F4E79"/>
        <rFont val="Arial"/>
        <family val="0"/>
        <charset val="1"/>
      </rPr>
      <t xml:space="preserve">Van một chiều</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</si>
  <si>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止回阀
</t>
    </r>
    <r>
      <rPr>
        <sz val="9"/>
        <color rgb="FF1F4E79"/>
        <rFont val="Arial"/>
        <family val="0"/>
        <charset val="1"/>
      </rPr>
      <t xml:space="preserve">1. Loại: van một chiều
</t>
    </r>
    <r>
      <rPr>
        <sz val="9"/>
        <rFont val="宋体"/>
        <family val="0"/>
        <charset val="1"/>
      </rPr>
      <t xml:space="preserve">2.</t>
    </r>
    <r>
      <rPr>
        <sz val="9"/>
        <rFont val="WenQuanYi Zen Hei"/>
        <family val="2"/>
      </rPr>
      <t xml:space="preserve">规格</t>
    </r>
    <r>
      <rPr>
        <sz val="9"/>
        <rFont val="宋体"/>
        <family val="0"/>
        <charset val="1"/>
      </rPr>
      <t xml:space="preserve">:DN100
</t>
    </r>
    <r>
      <rPr>
        <sz val="9"/>
        <color rgb="FF1F4E79"/>
        <rFont val="Arial"/>
        <family val="0"/>
        <charset val="1"/>
      </rPr>
      <t xml:space="preserve">2. Quy cách: DN100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</si>
  <si>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止回阀
</t>
    </r>
    <r>
      <rPr>
        <sz val="9"/>
        <color rgb="FF1F4E79"/>
        <rFont val="Arial"/>
        <family val="0"/>
        <charset val="1"/>
      </rPr>
      <t xml:space="preserve">1. Loại: van một chiều
</t>
    </r>
    <r>
      <rPr>
        <sz val="9"/>
        <rFont val="宋体"/>
        <family val="0"/>
        <charset val="1"/>
      </rPr>
      <t xml:space="preserve">2.</t>
    </r>
    <r>
      <rPr>
        <sz val="9"/>
        <rFont val="WenQuanYi Zen Hei"/>
        <family val="2"/>
      </rPr>
      <t xml:space="preserve">规格</t>
    </r>
    <r>
      <rPr>
        <sz val="9"/>
        <rFont val="宋体"/>
        <family val="0"/>
        <charset val="1"/>
      </rPr>
      <t xml:space="preserve">:DN25
</t>
    </r>
    <r>
      <rPr>
        <sz val="9"/>
        <color rgb="FF1F4E79"/>
        <rFont val="Arial"/>
        <family val="0"/>
        <charset val="1"/>
      </rPr>
      <t xml:space="preserve">2. Quy cách: DN25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</si>
  <si>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橡胶软接头
</t>
    </r>
    <r>
      <rPr>
        <sz val="9"/>
        <color rgb="FF1F4E79"/>
        <rFont val="Arial"/>
        <family val="0"/>
        <charset val="1"/>
      </rPr>
      <t xml:space="preserve">Khớp nối mềm cao su</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</si>
  <si>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橡胶软接头（负压）
</t>
    </r>
    <r>
      <rPr>
        <sz val="9"/>
        <color rgb="FF1F4E79"/>
        <rFont val="Arial"/>
        <family val="0"/>
        <charset val="1"/>
      </rPr>
      <t xml:space="preserve">1. Loại: khớp nối mềm cao su (áp suất âm)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</si>
  <si>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橡胶软接头
</t>
    </r>
    <r>
      <rPr>
        <sz val="9"/>
        <color rgb="FF1F4E79"/>
        <rFont val="Arial"/>
        <family val="0"/>
        <charset val="1"/>
      </rPr>
      <t xml:space="preserve">1. Loại: khớp nối mềm cao su
</t>
    </r>
    <r>
      <rPr>
        <sz val="9"/>
        <rFont val="宋体"/>
        <family val="0"/>
        <charset val="1"/>
      </rPr>
      <t xml:space="preserve">2.</t>
    </r>
    <r>
      <rPr>
        <sz val="9"/>
        <rFont val="WenQuanYi Zen Hei"/>
        <family val="2"/>
      </rPr>
      <t xml:space="preserve">规格</t>
    </r>
    <r>
      <rPr>
        <sz val="9"/>
        <rFont val="宋体"/>
        <family val="0"/>
        <charset val="1"/>
      </rPr>
      <t xml:space="preserve">:DN300
</t>
    </r>
    <r>
      <rPr>
        <sz val="9"/>
        <color rgb="FF1F4E79"/>
        <rFont val="Arial"/>
        <family val="0"/>
        <charset val="1"/>
      </rPr>
      <t xml:space="preserve">2. Quy cách: DN300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</si>
  <si>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橡胶软接头
</t>
    </r>
    <r>
      <rPr>
        <sz val="9"/>
        <color rgb="FF1F4E79"/>
        <rFont val="Arial"/>
        <family val="0"/>
        <charset val="1"/>
      </rPr>
      <t xml:space="preserve">1. Loại: khớp nối mềm cao su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</si>
  <si>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橡胶软接头
</t>
    </r>
    <r>
      <rPr>
        <sz val="9"/>
        <color rgb="FF1F4E79"/>
        <rFont val="Arial"/>
        <family val="0"/>
        <charset val="1"/>
      </rPr>
      <t xml:space="preserve">1. Loại: khớp nối mềm cao su
</t>
    </r>
    <r>
      <rPr>
        <sz val="9"/>
        <rFont val="宋体"/>
        <family val="0"/>
        <charset val="1"/>
      </rPr>
      <t xml:space="preserve">2.</t>
    </r>
    <r>
      <rPr>
        <sz val="9"/>
        <rFont val="WenQuanYi Zen Hei"/>
        <family val="2"/>
      </rPr>
      <t xml:space="preserve">规格</t>
    </r>
    <r>
      <rPr>
        <sz val="9"/>
        <rFont val="宋体"/>
        <family val="0"/>
        <charset val="1"/>
      </rPr>
      <t xml:space="preserve">:DN200
</t>
    </r>
    <r>
      <rPr>
        <sz val="9"/>
        <color rgb="FF1F4E79"/>
        <rFont val="Arial"/>
        <family val="0"/>
        <charset val="1"/>
      </rPr>
      <t xml:space="preserve">2. Quy cách: DN200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</si>
  <si>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远传智能水表
</t>
    </r>
    <r>
      <rPr>
        <sz val="9"/>
        <color rgb="FF1F4E79"/>
        <rFont val="Arial"/>
        <family val="0"/>
        <charset val="1"/>
      </rPr>
      <t xml:space="preserve">Đồng hồ nước thông minh truyền tín hiệu từ xa</t>
    </r>
  </si>
  <si>
    <r>
      <rPr>
        <sz val="9"/>
        <rFont val="宋体"/>
        <family val="0"/>
        <charset val="1"/>
      </rPr>
      <t xml:space="preserve">1.</t>
    </r>
    <r>
      <rPr>
        <sz val="9"/>
        <rFont val="WenQuanYi Zen Hei"/>
        <family val="2"/>
      </rPr>
      <t xml:space="preserve">规格</t>
    </r>
    <r>
      <rPr>
        <sz val="9"/>
        <rFont val="宋体"/>
        <family val="0"/>
        <charset val="1"/>
      </rPr>
      <t xml:space="preserve">:DN25
</t>
    </r>
    <r>
      <rPr>
        <sz val="9"/>
        <color rgb="FF1F4E79"/>
        <rFont val="Arial"/>
        <family val="0"/>
        <charset val="1"/>
      </rPr>
      <t xml:space="preserve">1. Quy cách: DN25
</t>
    </r>
    <r>
      <rPr>
        <sz val="9"/>
        <rFont val="宋体"/>
        <family val="0"/>
        <charset val="1"/>
      </rPr>
      <t xml:space="preserve">2.</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2. Hình thức kết nối: nối ren
</t>
    </r>
    <r>
      <rPr>
        <sz val="9"/>
        <rFont val="宋体"/>
        <family val="0"/>
        <charset val="1"/>
      </rPr>
      <t xml:space="preserve">3.</t>
    </r>
    <r>
      <rPr>
        <sz val="9"/>
        <rFont val="WenQuanYi Zen Hei"/>
        <family val="2"/>
      </rPr>
      <t xml:space="preserve">带</t>
    </r>
    <r>
      <rPr>
        <sz val="9"/>
        <rFont val="宋体"/>
        <family val="0"/>
        <charset val="1"/>
      </rPr>
      <t xml:space="preserve">485</t>
    </r>
    <r>
      <rPr>
        <sz val="9"/>
        <rFont val="WenQuanYi Zen Hei"/>
        <family val="2"/>
      </rPr>
      <t xml:space="preserve">远程通讯接口
</t>
    </r>
    <r>
      <rPr>
        <sz val="9"/>
        <color rgb="FF1F4E79"/>
        <rFont val="Arial"/>
        <family val="0"/>
        <charset val="1"/>
      </rPr>
      <t xml:space="preserve">3. Có cổng truyền thông từ xa 485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</si>
  <si>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规格</t>
    </r>
    <r>
      <rPr>
        <sz val="9"/>
        <rFont val="宋体"/>
        <family val="0"/>
        <charset val="1"/>
      </rPr>
      <t xml:space="preserve">:DN100
</t>
    </r>
    <r>
      <rPr>
        <sz val="9"/>
        <color rgb="FF1F4E79"/>
        <rFont val="Arial"/>
        <family val="0"/>
        <charset val="1"/>
      </rPr>
      <t xml:space="preserve">1. Quy cách: DN100
</t>
    </r>
    <r>
      <rPr>
        <sz val="9"/>
        <rFont val="宋体"/>
        <family val="0"/>
        <charset val="1"/>
      </rPr>
      <t xml:space="preserve">2.</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2. Hình thức kết nối: nối mặt bích
</t>
    </r>
    <r>
      <rPr>
        <sz val="9"/>
        <rFont val="宋体"/>
        <family val="0"/>
        <charset val="1"/>
      </rPr>
      <t xml:space="preserve">3.</t>
    </r>
    <r>
      <rPr>
        <sz val="9"/>
        <rFont val="WenQuanYi Zen Hei"/>
        <family val="2"/>
      </rPr>
      <t xml:space="preserve">带</t>
    </r>
    <r>
      <rPr>
        <sz val="9"/>
        <rFont val="宋体"/>
        <family val="0"/>
        <charset val="1"/>
      </rPr>
      <t xml:space="preserve">485</t>
    </r>
    <r>
      <rPr>
        <sz val="9"/>
        <rFont val="WenQuanYi Zen Hei"/>
        <family val="2"/>
      </rPr>
      <t xml:space="preserve">远程通讯接口
</t>
    </r>
    <r>
      <rPr>
        <sz val="9"/>
        <color rgb="FF1F4E79"/>
        <rFont val="Arial"/>
        <family val="0"/>
        <charset val="1"/>
      </rPr>
      <t xml:space="preserve">3. Có cổng truyền thông từ xa 485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</si>
  <si>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水流开关
</t>
    </r>
    <r>
      <rPr>
        <sz val="9"/>
        <color rgb="FF1F4E79"/>
        <rFont val="Arial"/>
        <family val="0"/>
        <charset val="1"/>
      </rPr>
      <t xml:space="preserve">Công tắc dòng chảy</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</si>
  <si>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水流开关
</t>
    </r>
    <r>
      <rPr>
        <sz val="9"/>
        <color rgb="FF1F4E79"/>
        <rFont val="Arial"/>
        <family val="0"/>
        <charset val="1"/>
      </rPr>
      <t xml:space="preserve">1. Tên: công tắc dòng chảy
</t>
    </r>
    <r>
      <rPr>
        <sz val="9"/>
        <rFont val="宋体"/>
        <family val="0"/>
        <charset val="1"/>
      </rPr>
      <t xml:space="preserve">2.</t>
    </r>
    <r>
      <rPr>
        <sz val="9"/>
        <rFont val="WenQuanYi Zen Hei"/>
        <family val="2"/>
      </rPr>
      <t xml:space="preserve">规格</t>
    </r>
    <r>
      <rPr>
        <sz val="9"/>
        <rFont val="宋体"/>
        <family val="0"/>
        <charset val="1"/>
      </rPr>
      <t xml:space="preserve">:DN25
</t>
    </r>
    <r>
      <rPr>
        <sz val="9"/>
        <color rgb="FF1F4E79"/>
        <rFont val="Arial"/>
        <family val="0"/>
        <charset val="1"/>
      </rPr>
      <t xml:space="preserve">2. Quy cách: DN25
</t>
    </r>
    <r>
      <rPr>
        <sz val="9"/>
        <rFont val="宋体"/>
        <family val="0"/>
        <charset val="1"/>
      </rPr>
      <t xml:space="preserve">3.</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3. Khác: phù hợp với yêu cầu của bản vẽ thiết kế và quy phạm thi công</t>
    </r>
  </si>
  <si>
    <r>
      <rPr>
        <sz val="9"/>
        <rFont val="WenQuanYi Zen Hei"/>
        <family val="2"/>
      </rPr>
      <t xml:space="preserve">套管温度计
</t>
    </r>
    <r>
      <rPr>
        <sz val="9"/>
        <color rgb="FF1F4E79"/>
        <rFont val="Arial"/>
        <family val="0"/>
        <charset val="1"/>
      </rPr>
      <t xml:space="preserve">Nhiệt kế kiểu ống bọc</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</si>
  <si>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不锈钢套管式温度计
</t>
    </r>
    <r>
      <rPr>
        <sz val="9"/>
        <color rgb="FF1F4E79"/>
        <rFont val="Arial"/>
        <family val="0"/>
        <charset val="1"/>
      </rPr>
      <t xml:space="preserve">1. Tên: nhiệt kế kiểu ống bọc bằng inox
</t>
    </r>
    <r>
      <rPr>
        <sz val="9"/>
        <rFont val="宋体"/>
        <family val="0"/>
        <charset val="1"/>
      </rPr>
      <t xml:space="preserve">2</t>
    </r>
    <r>
      <rPr>
        <sz val="9"/>
        <rFont val="WenQuanYi Zen Hei"/>
        <family val="2"/>
      </rPr>
      <t xml:space="preserve">、规格</t>
    </r>
    <r>
      <rPr>
        <sz val="9"/>
        <rFont val="宋体"/>
        <family val="0"/>
        <charset val="1"/>
      </rPr>
      <t xml:space="preserve">:0~50℃
</t>
    </r>
    <r>
      <rPr>
        <sz val="9"/>
        <color rgb="FF1F4E79"/>
        <rFont val="Arial"/>
        <family val="0"/>
        <charset val="1"/>
      </rPr>
      <t xml:space="preserve">2. Quy cách: 0~50℃
</t>
    </r>
    <r>
      <rPr>
        <sz val="9"/>
        <rFont val="宋体"/>
        <family val="0"/>
        <charset val="1"/>
      </rPr>
      <t xml:space="preserve">3.</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3. Khác: phù hợp với yêu cầu của bản vẽ thiết kế và quy phạm thi công</t>
    </r>
  </si>
  <si>
    <r>
      <rPr>
        <sz val="9"/>
        <rFont val="WenQuanYi Zen Hei"/>
        <family val="2"/>
      </rPr>
      <t xml:space="preserve">支
</t>
    </r>
    <r>
      <rPr>
        <sz val="9"/>
        <color rgb="FF1F4E79"/>
        <rFont val="Arial"/>
        <family val="0"/>
        <charset val="1"/>
      </rPr>
      <t xml:space="preserve">Cái</t>
    </r>
  </si>
  <si>
    <r>
      <rPr>
        <sz val="9"/>
        <rFont val="WenQuanYi Zen Hei"/>
        <family val="2"/>
      </rPr>
      <t xml:space="preserve">红旗、华科、富阳
</t>
    </r>
    <r>
      <rPr>
        <sz val="9"/>
        <color rgb="FF1F4E79"/>
        <rFont val="Arial"/>
        <family val="0"/>
        <charset val="1"/>
      </rPr>
      <t xml:space="preserve">Hongqi, Huake, Fuyang</t>
    </r>
  </si>
  <si>
    <r>
      <rPr>
        <sz val="9"/>
        <rFont val="WenQuanYi Zen Hei"/>
        <family val="2"/>
      </rPr>
      <t xml:space="preserve">压力表
</t>
    </r>
    <r>
      <rPr>
        <sz val="9"/>
        <color rgb="FF1F4E79"/>
        <rFont val="Arial"/>
        <family val="0"/>
        <charset val="1"/>
      </rPr>
      <t xml:space="preserve">Đồng hồ áp suất</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</si>
  <si>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压力表（负压表）
</t>
    </r>
    <r>
      <rPr>
        <sz val="9"/>
        <color rgb="FF1F4E79"/>
        <rFont val="Arial"/>
        <family val="0"/>
        <charset val="1"/>
      </rPr>
      <t xml:space="preserve">1. Tên: đồng hồ áp suất (đồng hồ áp suất âm)
</t>
    </r>
    <r>
      <rPr>
        <sz val="9"/>
        <rFont val="宋体"/>
        <family val="0"/>
        <charset val="1"/>
      </rPr>
      <t xml:space="preserve">2</t>
    </r>
    <r>
      <rPr>
        <sz val="9"/>
        <rFont val="WenQuanYi Zen Hei"/>
        <family val="2"/>
      </rPr>
      <t xml:space="preserve">、表盘直径</t>
    </r>
    <r>
      <rPr>
        <sz val="9"/>
        <rFont val="宋体"/>
        <family val="0"/>
        <charset val="1"/>
      </rPr>
      <t xml:space="preserve">100mm</t>
    </r>
    <r>
      <rPr>
        <sz val="9"/>
        <rFont val="WenQuanYi Zen Hei"/>
        <family val="2"/>
      </rPr>
      <t xml:space="preserve">，含不锈钢表弯、含</t>
    </r>
    <r>
      <rPr>
        <sz val="9"/>
        <rFont val="宋体"/>
        <family val="0"/>
        <charset val="1"/>
      </rPr>
      <t xml:space="preserve">DN15</t>
    </r>
    <r>
      <rPr>
        <sz val="9"/>
        <rFont val="WenQuanYi Zen Hei"/>
        <family val="2"/>
      </rPr>
      <t xml:space="preserve">铜球阀
</t>
    </r>
    <r>
      <rPr>
        <sz val="9"/>
        <color rgb="FF1F4E79"/>
        <rFont val="Arial"/>
        <family val="0"/>
        <charset val="1"/>
      </rPr>
      <t xml:space="preserve">2. Đường kính mặt đồng hồ 100mm, bao gồm ống siphon inox, bao gồm van bi đồng DN15
</t>
    </r>
    <r>
      <rPr>
        <sz val="9"/>
        <rFont val="宋体"/>
        <family val="0"/>
        <charset val="1"/>
      </rPr>
      <t xml:space="preserve">3.</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3. Khác: phù hợp với yêu cầu của bản vẽ thiết kế và quy phạm thi công</t>
    </r>
  </si>
  <si>
    <r>
      <rPr>
        <sz val="9"/>
        <rFont val="WenQuanYi Zen Hei"/>
        <family val="2"/>
      </rPr>
      <t xml:space="preserve">块
</t>
    </r>
    <r>
      <rPr>
        <sz val="9"/>
        <color rgb="FF1F4E79"/>
        <rFont val="Arial"/>
        <family val="0"/>
        <charset val="1"/>
      </rPr>
      <t xml:space="preserve">Cái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</si>
  <si>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压力表（</t>
    </r>
    <r>
      <rPr>
        <sz val="9"/>
        <rFont val="宋体"/>
        <family val="0"/>
        <charset val="1"/>
      </rPr>
      <t xml:space="preserve">0-1.6MPa</t>
    </r>
    <r>
      <rPr>
        <sz val="9"/>
        <rFont val="WenQuanYi Zen Hei"/>
        <family val="2"/>
      </rPr>
      <t xml:space="preserve">）
</t>
    </r>
    <r>
      <rPr>
        <sz val="9"/>
        <color rgb="FF1F4E79"/>
        <rFont val="Arial"/>
        <family val="0"/>
        <charset val="1"/>
      </rPr>
      <t xml:space="preserve">1. Tên: đồng hồ áp suất (0-1.6MPa)
</t>
    </r>
    <r>
      <rPr>
        <sz val="9"/>
        <rFont val="宋体"/>
        <family val="0"/>
        <charset val="1"/>
      </rPr>
      <t xml:space="preserve">2</t>
    </r>
    <r>
      <rPr>
        <sz val="9"/>
        <rFont val="WenQuanYi Zen Hei"/>
        <family val="2"/>
      </rPr>
      <t xml:space="preserve">、表盘直径</t>
    </r>
    <r>
      <rPr>
        <sz val="9"/>
        <rFont val="宋体"/>
        <family val="0"/>
        <charset val="1"/>
      </rPr>
      <t xml:space="preserve">100mm</t>
    </r>
    <r>
      <rPr>
        <sz val="9"/>
        <rFont val="WenQuanYi Zen Hei"/>
        <family val="2"/>
      </rPr>
      <t xml:space="preserve">，含不锈钢表弯、含</t>
    </r>
    <r>
      <rPr>
        <sz val="9"/>
        <rFont val="宋体"/>
        <family val="0"/>
        <charset val="1"/>
      </rPr>
      <t xml:space="preserve">DN15</t>
    </r>
    <r>
      <rPr>
        <sz val="9"/>
        <rFont val="WenQuanYi Zen Hei"/>
        <family val="2"/>
      </rPr>
      <t xml:space="preserve">铜球阀
</t>
    </r>
    <r>
      <rPr>
        <sz val="9"/>
        <color rgb="FF1F4E79"/>
        <rFont val="Arial"/>
        <family val="0"/>
        <charset val="1"/>
      </rPr>
      <t xml:space="preserve">2. Đường kính mặt đồng hồ 100mm, bao gồm ống siphon inox, bao gồm van bi đồng DN15
</t>
    </r>
    <r>
      <rPr>
        <sz val="9"/>
        <rFont val="宋体"/>
        <family val="0"/>
        <charset val="1"/>
      </rPr>
      <t xml:space="preserve">3.</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3. Khác: phù hợp với yêu cầu của bản vẽ thiết kế và quy phạm thi công</t>
    </r>
  </si>
  <si>
    <r>
      <rPr>
        <sz val="9"/>
        <rFont val="WenQuanYi Zen Hei"/>
        <family val="2"/>
      </rPr>
      <t xml:space="preserve">标识牌
</t>
    </r>
    <r>
      <rPr>
        <sz val="9"/>
        <color rgb="FF1F4E79"/>
        <rFont val="Arial"/>
        <family val="0"/>
        <charset val="1"/>
      </rPr>
      <t xml:space="preserve">Biển nhận diện</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</si>
  <si>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设备及管道标识
</t>
    </r>
    <r>
      <rPr>
        <sz val="9"/>
        <color rgb="FF1F4E79"/>
        <rFont val="Arial"/>
        <family val="0"/>
        <charset val="1"/>
      </rPr>
      <t xml:space="preserve">1. Tên: nhãn nhận diện thiết bị và đường ống
</t>
    </r>
    <r>
      <rPr>
        <sz val="9"/>
        <rFont val="宋体"/>
        <family val="0"/>
        <charset val="1"/>
      </rPr>
      <t xml:space="preserve">2.</t>
    </r>
    <r>
      <rPr>
        <sz val="9"/>
        <rFont val="WenQuanYi Zen Hei"/>
        <family val="2"/>
      </rPr>
      <t xml:space="preserve">位置</t>
    </r>
    <r>
      <rPr>
        <sz val="9"/>
        <rFont val="宋体"/>
        <family val="0"/>
        <charset val="1"/>
      </rPr>
      <t xml:space="preserve">:</t>
    </r>
    <r>
      <rPr>
        <sz val="9"/>
        <rFont val="WenQuanYi Zen Hei"/>
        <family val="2"/>
      </rPr>
      <t xml:space="preserve">制冷机房及天面冷却塔
</t>
    </r>
    <r>
      <rPr>
        <sz val="9"/>
        <color rgb="FF1F4E79"/>
        <rFont val="Arial"/>
        <family val="0"/>
        <charset val="1"/>
      </rPr>
      <t xml:space="preserve">2. Vị trí: phòng máy lạnh trung tâm và tháp giải nhiệt trên mái</t>
    </r>
  </si>
  <si>
    <r>
      <rPr>
        <sz val="9"/>
        <rFont val="WenQuanYi Zen Hei"/>
        <family val="2"/>
      </rPr>
      <t xml:space="preserve">项
</t>
    </r>
    <r>
      <rPr>
        <sz val="9"/>
        <color rgb="FF1F4E79"/>
        <rFont val="Arial"/>
        <family val="0"/>
        <charset val="1"/>
      </rPr>
      <t xml:space="preserve">Hạng mục</t>
    </r>
  </si>
  <si>
    <r>
      <rPr>
        <sz val="9"/>
        <color rgb="FFFF0000"/>
        <rFont val="WenQuanYi Zen Hei"/>
        <family val="2"/>
      </rPr>
      <t xml:space="preserve">墙体开孔、洞及修复、套管制作安装
</t>
    </r>
    <r>
      <rPr>
        <sz val="9"/>
        <color rgb="FF1F4E79"/>
        <rFont val="Arial"/>
        <family val="0"/>
        <charset val="1"/>
      </rPr>
      <t xml:space="preserve">Khoan lỗ tường, lỗ mở và hoàn trả, chế tạo lắp đặt ống lồng</t>
    </r>
  </si>
  <si>
    <r>
      <rPr>
        <sz val="9"/>
        <color rgb="FFFF0000"/>
        <rFont val="宋体"/>
        <family val="0"/>
        <charset val="1"/>
      </rPr>
      <t xml:space="preserve">1.</t>
    </r>
    <r>
      <rPr>
        <sz val="9"/>
        <color rgb="FFFF0000"/>
        <rFont val="WenQuanYi Zen Hei"/>
        <family val="2"/>
      </rPr>
      <t xml:space="preserve">类型</t>
    </r>
    <r>
      <rPr>
        <sz val="9"/>
        <color rgb="FFFF0000"/>
        <rFont val="宋体"/>
        <family val="0"/>
        <charset val="1"/>
      </rPr>
      <t xml:space="preserve">:</t>
    </r>
    <r>
      <rPr>
        <sz val="9"/>
        <color rgb="FFFF0000"/>
        <rFont val="WenQuanYi Zen Hei"/>
        <family val="2"/>
      </rPr>
      <t xml:space="preserve">墙体开孔及修复、套管制作安装
</t>
    </r>
    <r>
      <rPr>
        <sz val="9"/>
        <color rgb="FF1F4E79"/>
        <rFont val="Arial"/>
        <family val="0"/>
        <charset val="1"/>
      </rPr>
      <t xml:space="preserve">1. Loại: khoan lỗ tường và hoàn trả, chế tạo lắp đặt ống lồng
</t>
    </r>
    <r>
      <rPr>
        <sz val="9"/>
        <color rgb="FFFF0000"/>
        <rFont val="宋体"/>
        <family val="0"/>
        <charset val="1"/>
      </rPr>
      <t xml:space="preserve">2.</t>
    </r>
    <r>
      <rPr>
        <sz val="9"/>
        <color rgb="FFFF0000"/>
        <rFont val="WenQuanYi Zen Hei"/>
        <family val="2"/>
      </rPr>
      <t xml:space="preserve">材质：穿墙刚性防水套管
</t>
    </r>
    <r>
      <rPr>
        <sz val="9"/>
        <color rgb="FF1F4E79"/>
        <rFont val="Arial"/>
        <family val="0"/>
        <charset val="1"/>
      </rPr>
      <t xml:space="preserve">2. Vật liệu: ống lồng chống thấm cứng xuyên tường
</t>
    </r>
    <r>
      <rPr>
        <sz val="9"/>
        <color rgb="FFFF0000"/>
        <rFont val="宋体"/>
        <family val="0"/>
        <charset val="1"/>
      </rPr>
      <t xml:space="preserve">3.</t>
    </r>
    <r>
      <rPr>
        <sz val="9"/>
        <color rgb="FFFF0000"/>
        <rFont val="WenQuanYi Zen Hei"/>
        <family val="2"/>
      </rPr>
      <t xml:space="preserve">其他</t>
    </r>
    <r>
      <rPr>
        <sz val="9"/>
        <color rgb="FFFF0000"/>
        <rFont val="宋体"/>
        <family val="0"/>
        <charset val="1"/>
      </rPr>
      <t xml:space="preserve">:</t>
    </r>
    <r>
      <rPr>
        <sz val="9"/>
        <color rgb="FFFF0000"/>
        <rFont val="WenQuanYi Zen Hei"/>
        <family val="2"/>
      </rPr>
      <t xml:space="preserve">符合设计图纸以及施工规范要求
</t>
    </r>
    <r>
      <rPr>
        <sz val="9"/>
        <color rgb="FF1F4E79"/>
        <rFont val="Arial"/>
        <family val="0"/>
        <charset val="1"/>
      </rPr>
      <t xml:space="preserve">3. Khác: phù hợp với yêu cầu của bản vẽ thiết kế và quy phạm thi công</t>
    </r>
  </si>
  <si>
    <r>
      <rPr>
        <sz val="9"/>
        <color rgb="FFFF0000"/>
        <rFont val="WenQuanYi Zen Hei"/>
        <family val="2"/>
      </rPr>
      <t xml:space="preserve">立管楼板开孔及修复、套管制作安装
</t>
    </r>
    <r>
      <rPr>
        <sz val="9"/>
        <color rgb="FF1F4E79"/>
        <rFont val="Arial"/>
        <family val="0"/>
        <charset val="1"/>
      </rPr>
      <t xml:space="preserve">Khoan lỗ sàn cho ống đứng và hoàn trả, chế tạo lắp đặt ống lồng</t>
    </r>
  </si>
  <si>
    <r>
      <rPr>
        <sz val="9"/>
        <color rgb="FFFF0000"/>
        <rFont val="宋体"/>
        <family val="0"/>
        <charset val="1"/>
      </rPr>
      <t xml:space="preserve">1.</t>
    </r>
    <r>
      <rPr>
        <sz val="9"/>
        <color rgb="FFFF0000"/>
        <rFont val="WenQuanYi Zen Hei"/>
        <family val="2"/>
      </rPr>
      <t xml:space="preserve">类型</t>
    </r>
    <r>
      <rPr>
        <sz val="9"/>
        <color rgb="FFFF0000"/>
        <rFont val="宋体"/>
        <family val="0"/>
        <charset val="1"/>
      </rPr>
      <t xml:space="preserve">:</t>
    </r>
    <r>
      <rPr>
        <sz val="9"/>
        <color rgb="FFFF0000"/>
        <rFont val="WenQuanYi Zen Hei"/>
        <family val="2"/>
      </rPr>
      <t xml:space="preserve">楼板开孔及修复、套管制作安装                          </t>
    </r>
    <r>
      <rPr>
        <sz val="9"/>
        <color rgb="FFFF0000"/>
        <rFont val="宋体"/>
        <family val="0"/>
        <charset val="1"/>
      </rPr>
      <t xml:space="preserve">2</t>
    </r>
    <r>
      <rPr>
        <sz val="9"/>
        <color rgb="FFFF0000"/>
        <rFont val="WenQuanYi Zen Hei"/>
        <family val="2"/>
      </rPr>
      <t xml:space="preserve">、名称、类型</t>
    </r>
    <r>
      <rPr>
        <sz val="9"/>
        <color rgb="FFFF0000"/>
        <rFont val="宋体"/>
        <family val="0"/>
        <charset val="1"/>
      </rPr>
      <t xml:space="preserve">:</t>
    </r>
    <r>
      <rPr>
        <sz val="9"/>
        <color rgb="FFFF0000"/>
        <rFont val="WenQuanYi Zen Hei"/>
        <family val="2"/>
      </rPr>
      <t xml:space="preserve">刚性防水套管
</t>
    </r>
    <r>
      <rPr>
        <sz val="9"/>
        <color rgb="FF1F4E79"/>
        <rFont val="Arial"/>
        <family val="0"/>
        <charset val="1"/>
      </rPr>
      <t xml:space="preserve">1. Loại: khoan lỗ sàn và hoàn trả, chế tạo lắp đặt ống lồng                          2. Tên, loại: ống lồng chống thấm cứng
</t>
    </r>
    <r>
      <rPr>
        <sz val="9"/>
        <color rgb="FFFF0000"/>
        <rFont val="宋体"/>
        <family val="0"/>
        <charset val="1"/>
      </rPr>
      <t xml:space="preserve">3</t>
    </r>
    <r>
      <rPr>
        <sz val="9"/>
        <color rgb="FFFF0000"/>
        <rFont val="WenQuanYi Zen Hei"/>
        <family val="2"/>
      </rPr>
      <t xml:space="preserve">、材质</t>
    </r>
    <r>
      <rPr>
        <sz val="9"/>
        <color rgb="FFFF0000"/>
        <rFont val="宋体"/>
        <family val="0"/>
        <charset val="1"/>
      </rPr>
      <t xml:space="preserve">:</t>
    </r>
    <r>
      <rPr>
        <sz val="9"/>
        <color rgb="FFFF0000"/>
        <rFont val="WenQuanYi Zen Hei"/>
        <family val="2"/>
      </rPr>
      <t xml:space="preserve">焊接钢管、钢板
</t>
    </r>
    <r>
      <rPr>
        <sz val="9"/>
        <color rgb="FF1F4E79"/>
        <rFont val="Arial"/>
        <family val="0"/>
        <charset val="1"/>
      </rPr>
      <t xml:space="preserve">3. Vật liệu: ống thép hàn, thép tấm</t>
    </r>
  </si>
  <si>
    <r>
      <rPr>
        <sz val="9"/>
        <color rgb="FFFF0000"/>
        <rFont val="WenQuanYi Zen Hei"/>
        <family val="2"/>
      </rPr>
      <t xml:space="preserve">空调系统检测、调试
</t>
    </r>
    <r>
      <rPr>
        <sz val="9"/>
        <color rgb="FF1F4E79"/>
        <rFont val="Arial"/>
        <family val="0"/>
        <charset val="1"/>
      </rPr>
      <t xml:space="preserve">Kiểm tra, chạy thử hệ thống điều hòa</t>
    </r>
  </si>
  <si>
    <r>
      <rPr>
        <sz val="9"/>
        <color rgb="FFFF0000"/>
        <rFont val="WenQuanYi Zen Hei"/>
        <family val="2"/>
      </rPr>
      <t xml:space="preserve">空调水工程系统调试
</t>
    </r>
    <r>
      <rPr>
        <sz val="9"/>
        <color rgb="FF1F4E79"/>
        <rFont val="Arial"/>
        <family val="0"/>
        <charset val="1"/>
      </rPr>
      <t xml:space="preserve">Chạy thử hệ thống công trình nước điều hòa</t>
    </r>
  </si>
  <si>
    <r>
      <rPr>
        <sz val="9"/>
        <rFont val="WenQuanYi Zen Hei"/>
        <family val="2"/>
      </rPr>
      <t xml:space="preserve">系统
</t>
    </r>
    <r>
      <rPr>
        <sz val="9"/>
        <color rgb="FF1F4E79"/>
        <rFont val="Arial"/>
        <family val="0"/>
        <charset val="1"/>
      </rPr>
      <t xml:space="preserve">Hệ thống</t>
    </r>
  </si>
  <si>
    <r>
      <rPr>
        <b val="true"/>
        <sz val="9"/>
        <rFont val="WenQuanYi Zen Hei"/>
        <family val="2"/>
      </rPr>
      <t xml:space="preserve">三、
</t>
    </r>
    <r>
      <rPr>
        <b val="true"/>
        <sz val="9"/>
        <color rgb="FF1F4E79"/>
        <rFont val="Arial"/>
        <family val="0"/>
        <charset val="1"/>
      </rPr>
      <t xml:space="preserve">III.</t>
    </r>
  </si>
  <si>
    <r>
      <rPr>
        <b val="true"/>
        <sz val="9"/>
        <rFont val="WenQuanYi Zen Hei"/>
        <family val="2"/>
      </rPr>
      <t xml:space="preserve">空调电气系统
</t>
    </r>
    <r>
      <rPr>
        <b val="true"/>
        <sz val="9"/>
        <color rgb="FF1F4E79"/>
        <rFont val="Arial"/>
        <family val="0"/>
        <charset val="1"/>
      </rPr>
      <t xml:space="preserve">Hệ thống điện điều hòa</t>
    </r>
  </si>
  <si>
    <r>
      <rPr>
        <sz val="9"/>
        <rFont val="WenQuanYi Zen Hei"/>
        <family val="2"/>
      </rPr>
      <t xml:space="preserve">智能电表箱
</t>
    </r>
    <r>
      <rPr>
        <sz val="9"/>
        <color rgb="FF1F4E79"/>
        <rFont val="Arial"/>
        <family val="0"/>
        <charset val="1"/>
      </rPr>
      <t xml:space="preserve">Tủ đồng hồ điện thông minh</t>
    </r>
  </si>
  <si>
    <r>
      <rPr>
        <sz val="9"/>
        <rFont val="宋体"/>
        <family val="0"/>
        <charset val="1"/>
      </rPr>
      <t xml:space="preserve">1.</t>
    </r>
    <r>
      <rPr>
        <sz val="9"/>
        <rFont val="WenQuanYi Zen Hei"/>
        <family val="2"/>
      </rPr>
      <t xml:space="preserve">名称：智能电表箱
</t>
    </r>
    <r>
      <rPr>
        <sz val="9"/>
        <color rgb="FF1F4E79"/>
        <rFont val="Arial"/>
        <family val="0"/>
        <charset val="1"/>
      </rPr>
      <t xml:space="preserve">1. Tên: tủ đồng hồ điện thông minh
</t>
    </r>
    <r>
      <rPr>
        <sz val="9"/>
        <rFont val="宋体"/>
        <family val="0"/>
        <charset val="1"/>
      </rPr>
      <t xml:space="preserve">2.</t>
    </r>
    <r>
      <rPr>
        <sz val="9"/>
        <rFont val="WenQuanYi Zen Hei"/>
        <family val="2"/>
      </rPr>
      <t xml:space="preserve">成品箱，内含多功能电表、互感器、接线端子等
</t>
    </r>
    <r>
      <rPr>
        <sz val="9"/>
        <color rgb="FF1F4E79"/>
        <rFont val="Arial"/>
        <family val="0"/>
        <charset val="1"/>
      </rPr>
      <t xml:space="preserve">2. Tủ thành phẩm, bên trong gồm đồng hồ điện đa chức năng, biến dòng, cầu đấu dây, v.v.
</t>
    </r>
    <r>
      <rPr>
        <sz val="9"/>
        <rFont val="宋体"/>
        <family val="0"/>
        <charset val="1"/>
      </rPr>
      <t xml:space="preserve">3.</t>
    </r>
    <r>
      <rPr>
        <sz val="9"/>
        <rFont val="WenQuanYi Zen Hei"/>
        <family val="2"/>
      </rPr>
      <t xml:space="preserve">安装方式：悬挂式
</t>
    </r>
    <r>
      <rPr>
        <sz val="9"/>
        <color rgb="FF1F4E79"/>
        <rFont val="Arial"/>
        <family val="0"/>
        <charset val="1"/>
      </rPr>
      <t xml:space="preserve">3. Phương thức lắp đặt: treo tường</t>
    </r>
  </si>
  <si>
    <r>
      <rPr>
        <sz val="9"/>
        <rFont val="WenQuanYi Zen Hei"/>
        <family val="2"/>
      </rPr>
      <t xml:space="preserve">安科瑞
</t>
    </r>
    <r>
      <rPr>
        <sz val="9"/>
        <color rgb="FF1F4E79"/>
        <rFont val="Arial"/>
        <family val="0"/>
        <charset val="1"/>
      </rPr>
      <t xml:space="preserve">Acrel</t>
    </r>
  </si>
  <si>
    <r>
      <rPr>
        <sz val="9"/>
        <rFont val="WenQuanYi Zen Hei"/>
        <family val="2"/>
      </rPr>
      <t xml:space="preserve">冷冻水泵变频控制柜
</t>
    </r>
    <r>
      <rPr>
        <sz val="9"/>
        <color rgb="FF1F4E79"/>
        <rFont val="Arial"/>
        <family val="0"/>
        <charset val="1"/>
      </rPr>
      <t xml:space="preserve">Tủ điều khiển biến tần bơm nước lạnh
</t>
    </r>
    <r>
      <rPr>
        <sz val="9"/>
        <rFont val="宋体"/>
        <family val="0"/>
        <charset val="1"/>
      </rPr>
      <t xml:space="preserve">ACPL-01</t>
    </r>
  </si>
  <si>
    <r>
      <rPr>
        <sz val="9"/>
        <rFont val="宋体"/>
        <family val="0"/>
        <charset val="1"/>
      </rPr>
      <t xml:space="preserve">1.</t>
    </r>
    <r>
      <rPr>
        <sz val="9"/>
        <rFont val="WenQuanYi Zen Hei"/>
        <family val="2"/>
      </rPr>
      <t xml:space="preserve">名称：冷冻水泵变频控制柜
</t>
    </r>
    <r>
      <rPr>
        <sz val="9"/>
        <color rgb="FF1F4E79"/>
        <rFont val="Arial"/>
        <family val="0"/>
        <charset val="1"/>
      </rPr>
      <t xml:space="preserve">1. Tên: tủ điều khiển biến tần bơm nước lạnh
</t>
    </r>
    <r>
      <rPr>
        <sz val="9"/>
        <rFont val="宋体"/>
        <family val="0"/>
        <charset val="1"/>
      </rPr>
      <t xml:space="preserve">2.</t>
    </r>
    <r>
      <rPr>
        <sz val="9"/>
        <rFont val="WenQuanYi Zen Hei"/>
        <family val="2"/>
      </rPr>
      <t xml:space="preserve">编号：</t>
    </r>
    <r>
      <rPr>
        <sz val="9"/>
        <rFont val="宋体"/>
        <family val="0"/>
        <charset val="1"/>
      </rPr>
      <t xml:space="preserve">ACPL-01
</t>
    </r>
    <r>
      <rPr>
        <sz val="9"/>
        <color rgb="FF1F4E79"/>
        <rFont val="Arial"/>
        <family val="0"/>
        <charset val="1"/>
      </rPr>
      <t xml:space="preserve">2. Mã hiệu: ACPL-01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1800*1000*800
</t>
    </r>
    <r>
      <rPr>
        <sz val="9"/>
        <color rgb="FF1F4E79"/>
        <rFont val="Arial"/>
        <family val="0"/>
        <charset val="1"/>
      </rPr>
      <t xml:space="preserve">5. Vỏ tủ kiểu Rittal: 1800*1000*800</t>
    </r>
  </si>
  <si>
    <r>
      <rPr>
        <sz val="9"/>
        <rFont val="WenQuanYi Zen Hei"/>
        <family val="2"/>
      </rPr>
      <t xml:space="preserve">变频器及电气元器件：</t>
    </r>
    <r>
      <rPr>
        <sz val="9"/>
        <rFont val="宋体"/>
        <family val="0"/>
        <charset val="1"/>
      </rPr>
      <t xml:space="preserve">ABB</t>
    </r>
    <r>
      <rPr>
        <sz val="9"/>
        <rFont val="WenQuanYi Zen Hei"/>
        <family val="2"/>
      </rPr>
      <t xml:space="preserve">、施耐德
</t>
    </r>
    <r>
      <rPr>
        <sz val="9"/>
        <color rgb="FF1F4E79"/>
        <rFont val="Arial"/>
        <family val="0"/>
        <charset val="1"/>
      </rPr>
      <t xml:space="preserve">Biến tần và linh kiện điện: ABB, Schneider
</t>
    </r>
    <r>
      <rPr>
        <sz val="9"/>
        <rFont val="WenQuanYi Zen Hei"/>
        <family val="2"/>
      </rPr>
      <t xml:space="preserve">多功能电表：安科瑞
</t>
    </r>
    <r>
      <rPr>
        <sz val="9"/>
        <color rgb="FF1F4E79"/>
        <rFont val="Arial"/>
        <family val="0"/>
        <charset val="1"/>
      </rPr>
      <t xml:space="preserve">Đồng hồ điện đa chức năng: Acrel</t>
    </r>
  </si>
  <si>
    <r>
      <rPr>
        <sz val="9"/>
        <rFont val="WenQuanYi Zen Hei"/>
        <family val="2"/>
      </rPr>
      <t xml:space="preserve">冷冻水泵变频控制柜
</t>
    </r>
    <r>
      <rPr>
        <sz val="9"/>
        <color rgb="FF1F4E79"/>
        <rFont val="Arial"/>
        <family val="0"/>
        <charset val="1"/>
      </rPr>
      <t xml:space="preserve">Tủ điều khiển biến tần bơm nước lạnh
</t>
    </r>
    <r>
      <rPr>
        <sz val="9"/>
        <rFont val="宋体"/>
        <family val="0"/>
        <charset val="1"/>
      </rPr>
      <t xml:space="preserve">ACPL-02</t>
    </r>
  </si>
  <si>
    <r>
      <rPr>
        <sz val="9"/>
        <rFont val="宋体"/>
        <family val="0"/>
        <charset val="1"/>
      </rPr>
      <t xml:space="preserve">1.</t>
    </r>
    <r>
      <rPr>
        <sz val="9"/>
        <rFont val="WenQuanYi Zen Hei"/>
        <family val="2"/>
      </rPr>
      <t xml:space="preserve">名称：冷冻水泵变频控制柜
</t>
    </r>
    <r>
      <rPr>
        <sz val="9"/>
        <color rgb="FF1F4E79"/>
        <rFont val="Arial"/>
        <family val="0"/>
        <charset val="1"/>
      </rPr>
      <t xml:space="preserve">1. Tên: tủ điều khiển biến tần bơm nước lạnh
</t>
    </r>
    <r>
      <rPr>
        <sz val="9"/>
        <rFont val="宋体"/>
        <family val="0"/>
        <charset val="1"/>
      </rPr>
      <t xml:space="preserve">2.</t>
    </r>
    <r>
      <rPr>
        <sz val="9"/>
        <rFont val="WenQuanYi Zen Hei"/>
        <family val="2"/>
      </rPr>
      <t xml:space="preserve">编号：</t>
    </r>
    <r>
      <rPr>
        <sz val="9"/>
        <rFont val="宋体"/>
        <family val="0"/>
        <charset val="1"/>
      </rPr>
      <t xml:space="preserve">ACPL-02
</t>
    </r>
    <r>
      <rPr>
        <sz val="9"/>
        <color rgb="FF1F4E79"/>
        <rFont val="Arial"/>
        <family val="0"/>
        <charset val="1"/>
      </rPr>
      <t xml:space="preserve">2. Mã hiệu: ACPL-02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1800*1000*800
</t>
    </r>
    <r>
      <rPr>
        <sz val="9"/>
        <color rgb="FF1F4E79"/>
        <rFont val="Arial"/>
        <family val="0"/>
        <charset val="1"/>
      </rPr>
      <t xml:space="preserve">5. Vỏ tủ kiểu Rittal: 1800*1000*800</t>
    </r>
  </si>
  <si>
    <r>
      <rPr>
        <sz val="9"/>
        <rFont val="WenQuanYi Zen Hei"/>
        <family val="2"/>
      </rPr>
      <t xml:space="preserve">冷却水泵变频控制柜
</t>
    </r>
    <r>
      <rPr>
        <sz val="9"/>
        <color rgb="FF1F4E79"/>
        <rFont val="Arial"/>
        <family val="0"/>
        <charset val="1"/>
      </rPr>
      <t xml:space="preserve">Tủ điều khiển biến tần bơm nước giải nhiệt
</t>
    </r>
    <r>
      <rPr>
        <sz val="9"/>
        <rFont val="宋体"/>
        <family val="0"/>
        <charset val="1"/>
      </rPr>
      <t xml:space="preserve">ACPL-03</t>
    </r>
  </si>
  <si>
    <r>
      <rPr>
        <sz val="9"/>
        <rFont val="宋体"/>
        <family val="0"/>
        <charset val="1"/>
      </rPr>
      <t xml:space="preserve">1.</t>
    </r>
    <r>
      <rPr>
        <sz val="9"/>
        <rFont val="WenQuanYi Zen Hei"/>
        <family val="2"/>
      </rPr>
      <t xml:space="preserve">名称：冷却水泵变频控制柜
</t>
    </r>
    <r>
      <rPr>
        <sz val="9"/>
        <color rgb="FF1F4E79"/>
        <rFont val="Arial"/>
        <family val="0"/>
        <charset val="1"/>
      </rPr>
      <t xml:space="preserve">1. Tên: tủ điều khiển biến tần bơm nước giải nhiệt
</t>
    </r>
    <r>
      <rPr>
        <sz val="9"/>
        <rFont val="宋体"/>
        <family val="0"/>
        <charset val="1"/>
      </rPr>
      <t xml:space="preserve">2.</t>
    </r>
    <r>
      <rPr>
        <sz val="9"/>
        <rFont val="WenQuanYi Zen Hei"/>
        <family val="2"/>
      </rPr>
      <t xml:space="preserve">编号：</t>
    </r>
    <r>
      <rPr>
        <sz val="9"/>
        <rFont val="宋体"/>
        <family val="0"/>
        <charset val="1"/>
      </rPr>
      <t xml:space="preserve">ACPL-03
</t>
    </r>
    <r>
      <rPr>
        <sz val="9"/>
        <color rgb="FF1F4E79"/>
        <rFont val="Arial"/>
        <family val="0"/>
        <charset val="1"/>
      </rPr>
      <t xml:space="preserve">2. Mã hiệu: ACPL-03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1800*1000*800
</t>
    </r>
    <r>
      <rPr>
        <sz val="9"/>
        <color rgb="FF1F4E79"/>
        <rFont val="Arial"/>
        <family val="0"/>
        <charset val="1"/>
      </rPr>
      <t xml:space="preserve">5. Vỏ tủ kiểu Rittal: 1800*1000*800</t>
    </r>
  </si>
  <si>
    <r>
      <rPr>
        <sz val="9"/>
        <rFont val="WenQuanYi Zen Hei"/>
        <family val="2"/>
      </rPr>
      <t xml:space="preserve">冷却水泵变频控制柜
</t>
    </r>
    <r>
      <rPr>
        <sz val="9"/>
        <color rgb="FF1F4E79"/>
        <rFont val="Arial"/>
        <family val="0"/>
        <charset val="1"/>
      </rPr>
      <t xml:space="preserve">Tủ điều khiển biến tần bơm nước giải nhiệt
</t>
    </r>
    <r>
      <rPr>
        <sz val="9"/>
        <rFont val="宋体"/>
        <family val="0"/>
        <charset val="1"/>
      </rPr>
      <t xml:space="preserve">ACPL-04</t>
    </r>
  </si>
  <si>
    <r>
      <rPr>
        <sz val="9"/>
        <rFont val="宋体"/>
        <family val="0"/>
        <charset val="1"/>
      </rPr>
      <t xml:space="preserve">1.</t>
    </r>
    <r>
      <rPr>
        <sz val="9"/>
        <rFont val="WenQuanYi Zen Hei"/>
        <family val="2"/>
      </rPr>
      <t xml:space="preserve">名称：冷却水泵变频控制柜
</t>
    </r>
    <r>
      <rPr>
        <sz val="9"/>
        <color rgb="FF1F4E79"/>
        <rFont val="Arial"/>
        <family val="0"/>
        <charset val="1"/>
      </rPr>
      <t xml:space="preserve">1. Tên: tủ điều khiển biến tần bơm nước giải nhiệt
</t>
    </r>
    <r>
      <rPr>
        <sz val="9"/>
        <rFont val="宋体"/>
        <family val="0"/>
        <charset val="1"/>
      </rPr>
      <t xml:space="preserve">2.</t>
    </r>
    <r>
      <rPr>
        <sz val="9"/>
        <rFont val="WenQuanYi Zen Hei"/>
        <family val="2"/>
      </rPr>
      <t xml:space="preserve">编号：</t>
    </r>
    <r>
      <rPr>
        <sz val="9"/>
        <rFont val="宋体"/>
        <family val="0"/>
        <charset val="1"/>
      </rPr>
      <t xml:space="preserve">ACPL-04
</t>
    </r>
    <r>
      <rPr>
        <sz val="9"/>
        <color rgb="FF1F4E79"/>
        <rFont val="Arial"/>
        <family val="0"/>
        <charset val="1"/>
      </rPr>
      <t xml:space="preserve">2. Mã hiệu: ACPL-04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1800*1000*800
</t>
    </r>
    <r>
      <rPr>
        <sz val="9"/>
        <color rgb="FF1F4E79"/>
        <rFont val="Arial"/>
        <family val="0"/>
        <charset val="1"/>
      </rPr>
      <t xml:space="preserve">5. Vỏ tủ kiểu Rittal: 1800*1000*800</t>
    </r>
  </si>
  <si>
    <r>
      <rPr>
        <sz val="9"/>
        <rFont val="WenQuanYi Zen Hei"/>
        <family val="2"/>
      </rPr>
      <t xml:space="preserve">冷却塔变频控制柜
</t>
    </r>
    <r>
      <rPr>
        <sz val="9"/>
        <color rgb="FF1F4E79"/>
        <rFont val="Arial"/>
        <family val="0"/>
        <charset val="1"/>
      </rPr>
      <t xml:space="preserve">Tủ điều khiển biến tần tháp giải nhiệt
</t>
    </r>
    <r>
      <rPr>
        <sz val="9"/>
        <rFont val="宋体"/>
        <family val="0"/>
        <charset val="1"/>
      </rPr>
      <t xml:space="preserve">ACPL-05</t>
    </r>
  </si>
  <si>
    <r>
      <rPr>
        <sz val="9"/>
        <rFont val="宋体"/>
        <family val="0"/>
        <charset val="1"/>
      </rPr>
      <t xml:space="preserve">1.</t>
    </r>
    <r>
      <rPr>
        <sz val="9"/>
        <rFont val="WenQuanYi Zen Hei"/>
        <family val="2"/>
      </rPr>
      <t xml:space="preserve">名称：冷却塔变频控制柜
</t>
    </r>
    <r>
      <rPr>
        <sz val="9"/>
        <color rgb="FF1F4E79"/>
        <rFont val="Arial"/>
        <family val="0"/>
        <charset val="1"/>
      </rPr>
      <t xml:space="preserve">1. Tên: tủ điều khiển biến tần tháp giải nhiệt
</t>
    </r>
    <r>
      <rPr>
        <sz val="9"/>
        <rFont val="宋体"/>
        <family val="0"/>
        <charset val="1"/>
      </rPr>
      <t xml:space="preserve">2.</t>
    </r>
    <r>
      <rPr>
        <sz val="9"/>
        <rFont val="WenQuanYi Zen Hei"/>
        <family val="2"/>
      </rPr>
      <t xml:space="preserve">编号：</t>
    </r>
    <r>
      <rPr>
        <sz val="9"/>
        <rFont val="宋体"/>
        <family val="0"/>
        <charset val="1"/>
      </rPr>
      <t xml:space="preserve">ACPL-05
</t>
    </r>
    <r>
      <rPr>
        <sz val="9"/>
        <color rgb="FF1F4E79"/>
        <rFont val="Arial"/>
        <family val="0"/>
        <charset val="1"/>
      </rPr>
      <t xml:space="preserve">2. Mã hiệu: ACPL-05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1800*1200*800
</t>
    </r>
    <r>
      <rPr>
        <sz val="9"/>
        <color rgb="FF1F4E79"/>
        <rFont val="Arial"/>
        <family val="0"/>
        <charset val="1"/>
      </rPr>
      <t xml:space="preserve">5. Vỏ tủ kiểu Rittal: 1800*1200*800</t>
    </r>
  </si>
  <si>
    <r>
      <rPr>
        <sz val="9"/>
        <rFont val="WenQuanYi Zen Hei"/>
        <family val="2"/>
      </rPr>
      <t xml:space="preserve">冷却塔变频控制柜
</t>
    </r>
    <r>
      <rPr>
        <sz val="9"/>
        <color rgb="FF1F4E79"/>
        <rFont val="Arial"/>
        <family val="0"/>
        <charset val="1"/>
      </rPr>
      <t xml:space="preserve">Tủ điều khiển biến tần tháp giải nhiệt
</t>
    </r>
    <r>
      <rPr>
        <sz val="9"/>
        <rFont val="宋体"/>
        <family val="0"/>
        <charset val="1"/>
      </rPr>
      <t xml:space="preserve">ACPL-06</t>
    </r>
  </si>
  <si>
    <r>
      <rPr>
        <sz val="9"/>
        <rFont val="宋体"/>
        <family val="0"/>
        <charset val="1"/>
      </rPr>
      <t xml:space="preserve">1.</t>
    </r>
    <r>
      <rPr>
        <sz val="9"/>
        <rFont val="WenQuanYi Zen Hei"/>
        <family val="2"/>
      </rPr>
      <t xml:space="preserve">名称：冷却塔变频控制柜
</t>
    </r>
    <r>
      <rPr>
        <sz val="9"/>
        <color rgb="FF1F4E79"/>
        <rFont val="Arial"/>
        <family val="0"/>
        <charset val="1"/>
      </rPr>
      <t xml:space="preserve">1. Tên: tủ điều khiển biến tần tháp giải nhiệt
</t>
    </r>
    <r>
      <rPr>
        <sz val="9"/>
        <rFont val="宋体"/>
        <family val="0"/>
        <charset val="1"/>
      </rPr>
      <t xml:space="preserve">2.</t>
    </r>
    <r>
      <rPr>
        <sz val="9"/>
        <rFont val="WenQuanYi Zen Hei"/>
        <family val="2"/>
      </rPr>
      <t xml:space="preserve">编号：</t>
    </r>
    <r>
      <rPr>
        <sz val="9"/>
        <rFont val="宋体"/>
        <family val="0"/>
        <charset val="1"/>
      </rPr>
      <t xml:space="preserve">ACPL-06
</t>
    </r>
    <r>
      <rPr>
        <sz val="9"/>
        <color rgb="FF1F4E79"/>
        <rFont val="Arial"/>
        <family val="0"/>
        <charset val="1"/>
      </rPr>
      <t xml:space="preserve">2. Mã hiệu: ACPL-06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1800*800*800
</t>
    </r>
    <r>
      <rPr>
        <sz val="9"/>
        <color rgb="FF1F4E79"/>
        <rFont val="Arial"/>
        <family val="0"/>
        <charset val="1"/>
      </rPr>
      <t xml:space="preserve">5. Vỏ tủ kiểu Rittal: 1800*800*800</t>
    </r>
  </si>
  <si>
    <r>
      <rPr>
        <sz val="9"/>
        <rFont val="WenQuanYi Zen Hei"/>
        <family val="2"/>
      </rPr>
      <t xml:space="preserve">电动阀门控制柜
</t>
    </r>
    <r>
      <rPr>
        <sz val="9"/>
        <color rgb="FF1F4E79"/>
        <rFont val="Arial"/>
        <family val="0"/>
        <charset val="1"/>
      </rPr>
      <t xml:space="preserve">Tủ điều khiển van điện
</t>
    </r>
    <r>
      <rPr>
        <sz val="9"/>
        <rFont val="宋体"/>
        <family val="0"/>
        <charset val="1"/>
      </rPr>
      <t xml:space="preserve">ACPL-07</t>
    </r>
  </si>
  <si>
    <r>
      <rPr>
        <sz val="9"/>
        <rFont val="宋体"/>
        <family val="0"/>
        <charset val="1"/>
      </rPr>
      <t xml:space="preserve">1.</t>
    </r>
    <r>
      <rPr>
        <sz val="9"/>
        <rFont val="WenQuanYi Zen Hei"/>
        <family val="2"/>
      </rPr>
      <t xml:space="preserve">名称：冷却塔变频控制柜
</t>
    </r>
    <r>
      <rPr>
        <sz val="9"/>
        <color rgb="FF1F4E79"/>
        <rFont val="Arial"/>
        <family val="0"/>
        <charset val="1"/>
      </rPr>
      <t xml:space="preserve">1. Tên: tủ điều khiển biến tần tháp giải nhiệt
</t>
    </r>
    <r>
      <rPr>
        <sz val="9"/>
        <rFont val="宋体"/>
        <family val="0"/>
        <charset val="1"/>
      </rPr>
      <t xml:space="preserve">2.</t>
    </r>
    <r>
      <rPr>
        <sz val="9"/>
        <rFont val="WenQuanYi Zen Hei"/>
        <family val="2"/>
      </rPr>
      <t xml:space="preserve">编号：</t>
    </r>
    <r>
      <rPr>
        <sz val="9"/>
        <rFont val="宋体"/>
        <family val="0"/>
        <charset val="1"/>
      </rPr>
      <t xml:space="preserve">ACPL-07
</t>
    </r>
    <r>
      <rPr>
        <sz val="9"/>
        <color rgb="FF1F4E79"/>
        <rFont val="Arial"/>
        <family val="0"/>
        <charset val="1"/>
      </rPr>
      <t xml:space="preserve">2. Mã hiệu: ACPL-07
</t>
    </r>
    <r>
      <rPr>
        <sz val="9"/>
        <rFont val="宋体"/>
        <family val="0"/>
        <charset val="1"/>
      </rPr>
      <t xml:space="preserve">3.</t>
    </r>
    <r>
      <rPr>
        <sz val="9"/>
        <rFont val="WenQuanYi Zen Hei"/>
        <family val="2"/>
      </rPr>
      <t xml:space="preserve">成品柜，内含负荷开关、互感器、多功能电表、接触器、继电器、接线端子、按钮、指示灯等
</t>
    </r>
    <r>
      <rPr>
        <sz val="9"/>
        <color rgb="FF1F4E79"/>
        <rFont val="Arial"/>
        <family val="0"/>
        <charset val="1"/>
      </rPr>
      <t xml:space="preserve">3. Tủ thành phẩm, bên trong gồm cầu dao phụ tải, biến dòng,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1800*800*800
</t>
    </r>
    <r>
      <rPr>
        <sz val="9"/>
        <color rgb="FF1F4E79"/>
        <rFont val="Arial"/>
        <family val="0"/>
        <charset val="1"/>
      </rPr>
      <t xml:space="preserve">5. Vỏ tủ kiểu Rittal: 1800*800*800</t>
    </r>
  </si>
  <si>
    <r>
      <rPr>
        <sz val="9"/>
        <rFont val="WenQuanYi Zen Hei"/>
        <family val="2"/>
      </rPr>
      <t xml:space="preserve">电气元器件：</t>
    </r>
    <r>
      <rPr>
        <sz val="9"/>
        <rFont val="宋体"/>
        <family val="0"/>
        <charset val="1"/>
      </rPr>
      <t xml:space="preserve">ABB</t>
    </r>
    <r>
      <rPr>
        <sz val="9"/>
        <rFont val="WenQuanYi Zen Hei"/>
        <family val="2"/>
      </rPr>
      <t xml:space="preserve">、施耐德
</t>
    </r>
    <r>
      <rPr>
        <sz val="9"/>
        <color rgb="FF1F4E79"/>
        <rFont val="Arial"/>
        <family val="0"/>
        <charset val="1"/>
      </rPr>
      <t xml:space="preserve">Linh kiện điện: ABB, Schneider
</t>
    </r>
    <r>
      <rPr>
        <sz val="9"/>
        <rFont val="WenQuanYi Zen Hei"/>
        <family val="2"/>
      </rPr>
      <t xml:space="preserve">多功能电表：安科瑞
</t>
    </r>
    <r>
      <rPr>
        <sz val="9"/>
        <color rgb="FF1F4E79"/>
        <rFont val="Arial"/>
        <family val="0"/>
        <charset val="1"/>
      </rPr>
      <t xml:space="preserve">Đồng hồ điện đa chức năng: Acrel</t>
    </r>
  </si>
  <si>
    <r>
      <rPr>
        <sz val="9"/>
        <rFont val="WenQuanYi Zen Hei"/>
        <family val="2"/>
      </rPr>
      <t xml:space="preserve">电力电缆
</t>
    </r>
    <r>
      <rPr>
        <sz val="9"/>
        <color rgb="FF1F4E79"/>
        <rFont val="Arial"/>
        <family val="0"/>
        <charset val="1"/>
      </rPr>
      <t xml:space="preserve">Cáp điện lực</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</si>
  <si>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:YJV-3*70+1*35
</t>
    </r>
    <r>
      <rPr>
        <sz val="9"/>
        <color rgb="FF1F4E79"/>
        <rFont val="Arial"/>
        <family val="0"/>
        <charset val="1"/>
      </rPr>
      <t xml:space="preserve">2. Quy cách: YJV-3*70+1*35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</si>
  <si>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WenQuanYi Zen Hei"/>
        <family val="2"/>
      </rPr>
      <t xml:space="preserve">深圳成天泰，南洋，</t>
    </r>
    <r>
      <rPr>
        <sz val="9"/>
        <rFont val="宋体"/>
        <family val="0"/>
        <charset val="1"/>
      </rPr>
      <t xml:space="preserve">LS,Taya
</t>
    </r>
    <r>
      <rPr>
        <sz val="9"/>
        <color rgb="FF1F4E79"/>
        <rFont val="Arial"/>
        <family val="0"/>
        <charset val="1"/>
      </rPr>
      <t xml:space="preserve">Shenzhen Chengtiantai, Nanyang, LS, Taya</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</si>
  <si>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:YJV-3*50+1*25
</t>
    </r>
    <r>
      <rPr>
        <sz val="9"/>
        <color rgb="FF1F4E79"/>
        <rFont val="Arial"/>
        <family val="0"/>
        <charset val="1"/>
      </rPr>
      <t xml:space="preserve">2. Quy cách: YJV-3*50+1*25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</si>
  <si>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:YJV-3*10+1*6
</t>
    </r>
    <r>
      <rPr>
        <sz val="9"/>
        <color rgb="FF1F4E79"/>
        <rFont val="Arial"/>
        <family val="0"/>
        <charset val="1"/>
      </rPr>
      <t xml:space="preserve">2. Quy cách: YJV-3*10+1*6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</si>
  <si>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:YJV-5*2.5
</t>
    </r>
    <r>
      <rPr>
        <sz val="9"/>
        <color rgb="FF1F4E79"/>
        <rFont val="Arial"/>
        <family val="0"/>
        <charset val="1"/>
      </rPr>
      <t xml:space="preserve">2. Quy cách: YJV-5*2.5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</si>
  <si>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:YJV-4*2.5
</t>
    </r>
    <r>
      <rPr>
        <sz val="9"/>
        <color rgb="FF1F4E79"/>
        <rFont val="Arial"/>
        <family val="0"/>
        <charset val="1"/>
      </rPr>
      <t xml:space="preserve">2. Quy cách: YJV-4*2.5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</si>
  <si>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:YJV-3*2.5
</t>
    </r>
    <r>
      <rPr>
        <sz val="9"/>
        <color rgb="FF1F4E79"/>
        <rFont val="Arial"/>
        <family val="0"/>
        <charset val="1"/>
      </rPr>
      <t xml:space="preserve">2. Quy cách: YJV-3*2.5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</si>
  <si>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WenQuanYi Zen Hei"/>
        <family val="2"/>
      </rPr>
      <t xml:space="preserve">控制线缆
</t>
    </r>
    <r>
      <rPr>
        <sz val="9"/>
        <color rgb="FF1F4E79"/>
        <rFont val="Arial"/>
        <family val="0"/>
        <charset val="1"/>
      </rPr>
      <t xml:space="preserve">Cáp điều khiển</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</si>
  <si>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:RVV-3*1.0
</t>
    </r>
    <r>
      <rPr>
        <sz val="9"/>
        <color rgb="FF1F4E79"/>
        <rFont val="Arial"/>
        <family val="0"/>
        <charset val="1"/>
      </rPr>
      <t xml:space="preserve">2. Quy cách: RVV-3*1.0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</si>
  <si>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WenQuanYi Zen Hei"/>
        <family val="2"/>
      </rPr>
      <t xml:space="preserve">镀锌线槽
</t>
    </r>
    <r>
      <rPr>
        <sz val="9"/>
        <color rgb="FF1F4E79"/>
        <rFont val="Arial"/>
        <family val="0"/>
        <charset val="1"/>
      </rPr>
      <t xml:space="preserve">Máng cáp mạ kẽm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</si>
  <si>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镀锌线槽
</t>
    </r>
    <r>
      <rPr>
        <sz val="9"/>
        <color rgb="FF1F4E79"/>
        <rFont val="Arial"/>
        <family val="0"/>
        <charset val="1"/>
      </rPr>
      <t xml:space="preserve">1. Tên: máng cáp mạ kẽm
</t>
    </r>
    <r>
      <rPr>
        <sz val="9"/>
        <rFont val="宋体"/>
        <family val="0"/>
        <charset val="1"/>
      </rPr>
      <t xml:space="preserve">2.</t>
    </r>
    <r>
      <rPr>
        <sz val="9"/>
        <rFont val="WenQuanYi Zen Hei"/>
        <family val="2"/>
      </rPr>
      <t xml:space="preserve">规格：</t>
    </r>
    <r>
      <rPr>
        <sz val="9"/>
        <rFont val="宋体"/>
        <family val="0"/>
        <charset val="1"/>
      </rPr>
      <t xml:space="preserve">800*200*1.5mm
</t>
    </r>
    <r>
      <rPr>
        <sz val="9"/>
        <color rgb="FF1F4E79"/>
        <rFont val="Arial"/>
        <family val="0"/>
        <charset val="1"/>
      </rPr>
      <t xml:space="preserve">2. Quy cách: 800*200*1.5mm
</t>
    </r>
    <r>
      <rPr>
        <sz val="9"/>
        <rFont val="宋体"/>
        <family val="0"/>
        <charset val="1"/>
      </rPr>
      <t xml:space="preserve">3.</t>
    </r>
    <r>
      <rPr>
        <sz val="9"/>
        <rFont val="WenQuanYi Zen Hei"/>
        <family val="2"/>
      </rPr>
      <t xml:space="preserve">材质：镀锌钢板
</t>
    </r>
    <r>
      <rPr>
        <sz val="9"/>
        <color rgb="FF1F4E79"/>
        <rFont val="Arial"/>
        <family val="0"/>
        <charset val="1"/>
      </rPr>
      <t xml:space="preserve">3. Vật liệu: thép tấm mạ kẽm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</si>
  <si>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镀锌线槽
</t>
    </r>
    <r>
      <rPr>
        <sz val="9"/>
        <color rgb="FF1F4E79"/>
        <rFont val="Arial"/>
        <family val="0"/>
        <charset val="1"/>
      </rPr>
      <t xml:space="preserve">1. Tên: máng cáp mạ kẽm
</t>
    </r>
    <r>
      <rPr>
        <sz val="9"/>
        <rFont val="宋体"/>
        <family val="0"/>
        <charset val="1"/>
      </rPr>
      <t xml:space="preserve">2.</t>
    </r>
    <r>
      <rPr>
        <sz val="9"/>
        <rFont val="WenQuanYi Zen Hei"/>
        <family val="2"/>
      </rPr>
      <t xml:space="preserve">规格：</t>
    </r>
    <r>
      <rPr>
        <sz val="9"/>
        <rFont val="宋体"/>
        <family val="0"/>
        <charset val="1"/>
      </rPr>
      <t xml:space="preserve">400*200*1.2mm
</t>
    </r>
    <r>
      <rPr>
        <sz val="9"/>
        <color rgb="FF1F4E79"/>
        <rFont val="Arial"/>
        <family val="0"/>
        <charset val="1"/>
      </rPr>
      <t xml:space="preserve">2. Quy cách: 400*200*1.2mm
</t>
    </r>
    <r>
      <rPr>
        <sz val="9"/>
        <rFont val="宋体"/>
        <family val="0"/>
        <charset val="1"/>
      </rPr>
      <t xml:space="preserve">3.</t>
    </r>
    <r>
      <rPr>
        <sz val="9"/>
        <rFont val="WenQuanYi Zen Hei"/>
        <family val="2"/>
      </rPr>
      <t xml:space="preserve">材质：镀锌钢板
</t>
    </r>
    <r>
      <rPr>
        <sz val="9"/>
        <color rgb="FF1F4E79"/>
        <rFont val="Arial"/>
        <family val="0"/>
        <charset val="1"/>
      </rPr>
      <t xml:space="preserve">3. Vật liệu: thép tấm mạ kẽm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</si>
  <si>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镀锌线槽
</t>
    </r>
    <r>
      <rPr>
        <sz val="9"/>
        <color rgb="FF1F4E79"/>
        <rFont val="Arial"/>
        <family val="0"/>
        <charset val="1"/>
      </rPr>
      <t xml:space="preserve">1. Tên: máng cáp mạ kẽm
</t>
    </r>
    <r>
      <rPr>
        <sz val="9"/>
        <rFont val="宋体"/>
        <family val="0"/>
        <charset val="1"/>
      </rPr>
      <t xml:space="preserve">2.</t>
    </r>
    <r>
      <rPr>
        <sz val="9"/>
        <rFont val="WenQuanYi Zen Hei"/>
        <family val="2"/>
      </rPr>
      <t xml:space="preserve">规格：</t>
    </r>
    <r>
      <rPr>
        <sz val="9"/>
        <rFont val="宋体"/>
        <family val="0"/>
        <charset val="1"/>
      </rPr>
      <t xml:space="preserve">300*150*1.2mm
</t>
    </r>
    <r>
      <rPr>
        <sz val="9"/>
        <color rgb="FF1F4E79"/>
        <rFont val="Arial"/>
        <family val="0"/>
        <charset val="1"/>
      </rPr>
      <t xml:space="preserve">2. Quy cách: 300*150*1.2mm
</t>
    </r>
    <r>
      <rPr>
        <sz val="9"/>
        <rFont val="宋体"/>
        <family val="0"/>
        <charset val="1"/>
      </rPr>
      <t xml:space="preserve">3.</t>
    </r>
    <r>
      <rPr>
        <sz val="9"/>
        <rFont val="WenQuanYi Zen Hei"/>
        <family val="2"/>
      </rPr>
      <t xml:space="preserve">材质：镀锌钢板
</t>
    </r>
    <r>
      <rPr>
        <sz val="9"/>
        <color rgb="FF1F4E79"/>
        <rFont val="Arial"/>
        <family val="0"/>
        <charset val="1"/>
      </rPr>
      <t xml:space="preserve">3. Vật liệu: thép tấm mạ kẽm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</si>
  <si>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镀锌线槽
</t>
    </r>
    <r>
      <rPr>
        <sz val="9"/>
        <color rgb="FF1F4E79"/>
        <rFont val="Arial"/>
        <family val="0"/>
        <charset val="1"/>
      </rPr>
      <t xml:space="preserve">1. Tên: máng cáp mạ kẽm
</t>
    </r>
    <r>
      <rPr>
        <sz val="9"/>
        <rFont val="宋体"/>
        <family val="0"/>
        <charset val="1"/>
      </rPr>
      <t xml:space="preserve">2.</t>
    </r>
    <r>
      <rPr>
        <sz val="9"/>
        <rFont val="WenQuanYi Zen Hei"/>
        <family val="2"/>
      </rPr>
      <t xml:space="preserve">规格：</t>
    </r>
    <r>
      <rPr>
        <sz val="9"/>
        <rFont val="宋体"/>
        <family val="0"/>
        <charset val="1"/>
      </rPr>
      <t xml:space="preserve">200*100*1.0mm
</t>
    </r>
    <r>
      <rPr>
        <sz val="9"/>
        <color rgb="FF1F4E79"/>
        <rFont val="Arial"/>
        <family val="0"/>
        <charset val="1"/>
      </rPr>
      <t xml:space="preserve">2. Quy cách: 200*100*1.0mm
</t>
    </r>
    <r>
      <rPr>
        <sz val="9"/>
        <rFont val="宋体"/>
        <family val="0"/>
        <charset val="1"/>
      </rPr>
      <t xml:space="preserve">3.</t>
    </r>
    <r>
      <rPr>
        <sz val="9"/>
        <rFont val="WenQuanYi Zen Hei"/>
        <family val="2"/>
      </rPr>
      <t xml:space="preserve">材质：镀锌钢板
</t>
    </r>
    <r>
      <rPr>
        <sz val="9"/>
        <color rgb="FF1F4E79"/>
        <rFont val="Arial"/>
        <family val="0"/>
        <charset val="1"/>
      </rPr>
      <t xml:space="preserve">3. Vật liệu: thép tấm mạ kẽm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</si>
  <si>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镀锌线槽
</t>
    </r>
    <r>
      <rPr>
        <sz val="9"/>
        <color rgb="FF1F4E79"/>
        <rFont val="Arial"/>
        <family val="0"/>
        <charset val="1"/>
      </rPr>
      <t xml:space="preserve">1. Tên: máng cáp mạ kẽm
</t>
    </r>
    <r>
      <rPr>
        <sz val="9"/>
        <rFont val="宋体"/>
        <family val="0"/>
        <charset val="1"/>
      </rPr>
      <t xml:space="preserve">2.</t>
    </r>
    <r>
      <rPr>
        <sz val="9"/>
        <rFont val="WenQuanYi Zen Hei"/>
        <family val="2"/>
      </rPr>
      <t xml:space="preserve">规格：</t>
    </r>
    <r>
      <rPr>
        <sz val="9"/>
        <rFont val="宋体"/>
        <family val="0"/>
        <charset val="1"/>
      </rPr>
      <t xml:space="preserve">150*100*1.0mm
</t>
    </r>
    <r>
      <rPr>
        <sz val="9"/>
        <color rgb="FF1F4E79"/>
        <rFont val="Arial"/>
        <family val="0"/>
        <charset val="1"/>
      </rPr>
      <t xml:space="preserve">2. Quy cách: 150*100*1.0mm
</t>
    </r>
    <r>
      <rPr>
        <sz val="9"/>
        <rFont val="宋体"/>
        <family val="0"/>
        <charset val="1"/>
      </rPr>
      <t xml:space="preserve">3.</t>
    </r>
    <r>
      <rPr>
        <sz val="9"/>
        <rFont val="WenQuanYi Zen Hei"/>
        <family val="2"/>
      </rPr>
      <t xml:space="preserve">材质：镀锌钢板
</t>
    </r>
    <r>
      <rPr>
        <sz val="9"/>
        <color rgb="FF1F4E79"/>
        <rFont val="Arial"/>
        <family val="0"/>
        <charset val="1"/>
      </rPr>
      <t xml:space="preserve">3. Vật liệu: thép tấm mạ kẽm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</si>
  <si>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PVC</t>
    </r>
    <r>
      <rPr>
        <sz val="9"/>
        <rFont val="WenQuanYi Zen Hei"/>
        <family val="2"/>
      </rPr>
      <t xml:space="preserve">线管
</t>
    </r>
    <r>
      <rPr>
        <sz val="9"/>
        <color rgb="FF1F4E79"/>
        <rFont val="Arial"/>
        <family val="0"/>
        <charset val="1"/>
      </rPr>
      <t xml:space="preserve">Ống luồn dây PVC</t>
    </r>
  </si>
  <si>
    <r>
      <rPr>
        <sz val="9"/>
        <rFont val="宋体"/>
        <family val="0"/>
        <charset val="1"/>
      </rPr>
      <t xml:space="preserve">1.</t>
    </r>
    <r>
      <rPr>
        <sz val="9"/>
        <rFont val="WenQuanYi Zen Hei"/>
        <family val="2"/>
      </rPr>
      <t xml:space="preserve">名称</t>
    </r>
    <r>
      <rPr>
        <sz val="9"/>
        <rFont val="宋体"/>
        <family val="0"/>
        <charset val="1"/>
      </rPr>
      <t xml:space="preserve">:PVC</t>
    </r>
    <r>
      <rPr>
        <sz val="9"/>
        <rFont val="WenQuanYi Zen Hei"/>
        <family val="2"/>
      </rPr>
      <t xml:space="preserve">线管
</t>
    </r>
    <r>
      <rPr>
        <sz val="9"/>
        <color rgb="FF1F4E79"/>
        <rFont val="Arial"/>
        <family val="0"/>
        <charset val="1"/>
      </rPr>
      <t xml:space="preserve">1. Tên: ống luồn dây PVC
</t>
    </r>
    <r>
      <rPr>
        <sz val="9"/>
        <rFont val="宋体"/>
        <family val="0"/>
        <charset val="1"/>
      </rPr>
      <t xml:space="preserve">2.</t>
    </r>
    <r>
      <rPr>
        <sz val="9"/>
        <rFont val="WenQuanYi Zen Hei"/>
        <family val="2"/>
      </rPr>
      <t xml:space="preserve">规格：</t>
    </r>
    <r>
      <rPr>
        <sz val="9"/>
        <rFont val="宋体"/>
        <family val="0"/>
        <charset val="1"/>
      </rPr>
      <t xml:space="preserve">Φ40
</t>
    </r>
    <r>
      <rPr>
        <sz val="9"/>
        <color rgb="FF1F4E79"/>
        <rFont val="Arial"/>
        <family val="0"/>
        <charset val="1"/>
      </rPr>
      <t xml:space="preserve">2. Quy cách: Φ40
</t>
    </r>
    <r>
      <rPr>
        <sz val="9"/>
        <rFont val="宋体"/>
        <family val="0"/>
        <charset val="1"/>
      </rPr>
      <t xml:space="preserve">3.</t>
    </r>
    <r>
      <rPr>
        <sz val="9"/>
        <rFont val="WenQuanYi Zen Hei"/>
        <family val="2"/>
      </rPr>
      <t xml:space="preserve">材质：</t>
    </r>
    <r>
      <rPr>
        <sz val="9"/>
        <rFont val="宋体"/>
        <family val="0"/>
        <charset val="1"/>
      </rPr>
      <t xml:space="preserve">U-PVC</t>
    </r>
    <r>
      <rPr>
        <sz val="9"/>
        <rFont val="WenQuanYi Zen Hei"/>
        <family val="2"/>
      </rPr>
      <t xml:space="preserve">硬管
</t>
    </r>
    <r>
      <rPr>
        <sz val="9"/>
        <color rgb="FF1F4E79"/>
        <rFont val="Arial"/>
        <family val="0"/>
        <charset val="1"/>
      </rPr>
      <t xml:space="preserve">3. Vật liệu: ống cứng U-PVC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</si>
  <si>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1.</t>
    </r>
    <r>
      <rPr>
        <sz val="9"/>
        <rFont val="WenQuanYi Zen Hei"/>
        <family val="2"/>
      </rPr>
      <t xml:space="preserve">名称</t>
    </r>
    <r>
      <rPr>
        <sz val="9"/>
        <rFont val="宋体"/>
        <family val="0"/>
        <charset val="1"/>
      </rPr>
      <t xml:space="preserve">:PVC</t>
    </r>
    <r>
      <rPr>
        <sz val="9"/>
        <rFont val="WenQuanYi Zen Hei"/>
        <family val="2"/>
      </rPr>
      <t xml:space="preserve">线管
</t>
    </r>
    <r>
      <rPr>
        <sz val="9"/>
        <color rgb="FF1F4E79"/>
        <rFont val="Arial"/>
        <family val="0"/>
        <charset val="1"/>
      </rPr>
      <t xml:space="preserve">1. Tên: ống luồn dây PVC
</t>
    </r>
    <r>
      <rPr>
        <sz val="9"/>
        <rFont val="宋体"/>
        <family val="0"/>
        <charset val="1"/>
      </rPr>
      <t xml:space="preserve">2.</t>
    </r>
    <r>
      <rPr>
        <sz val="9"/>
        <rFont val="WenQuanYi Zen Hei"/>
        <family val="2"/>
      </rPr>
      <t xml:space="preserve">规格：</t>
    </r>
    <r>
      <rPr>
        <sz val="9"/>
        <rFont val="宋体"/>
        <family val="0"/>
        <charset val="1"/>
      </rPr>
      <t xml:space="preserve">Φ25
</t>
    </r>
    <r>
      <rPr>
        <sz val="9"/>
        <color rgb="FF1F4E79"/>
        <rFont val="Arial"/>
        <family val="0"/>
        <charset val="1"/>
      </rPr>
      <t xml:space="preserve">2. Quy cách: Φ25
</t>
    </r>
    <r>
      <rPr>
        <sz val="9"/>
        <rFont val="宋体"/>
        <family val="0"/>
        <charset val="1"/>
      </rPr>
      <t xml:space="preserve">3.</t>
    </r>
    <r>
      <rPr>
        <sz val="9"/>
        <rFont val="WenQuanYi Zen Hei"/>
        <family val="2"/>
      </rPr>
      <t xml:space="preserve">材质：</t>
    </r>
    <r>
      <rPr>
        <sz val="9"/>
        <rFont val="宋体"/>
        <family val="0"/>
        <charset val="1"/>
      </rPr>
      <t xml:space="preserve">U-PVC</t>
    </r>
    <r>
      <rPr>
        <sz val="9"/>
        <rFont val="WenQuanYi Zen Hei"/>
        <family val="2"/>
      </rPr>
      <t xml:space="preserve">硬管
</t>
    </r>
    <r>
      <rPr>
        <sz val="9"/>
        <color rgb="FF1F4E79"/>
        <rFont val="Arial"/>
        <family val="0"/>
        <charset val="1"/>
      </rPr>
      <t xml:space="preserve">3. Vật liệu: ống cứng U-PVC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</si>
  <si>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WenQuanYi Zen Hei"/>
        <family val="2"/>
      </rPr>
      <t xml:space="preserve">线槽、线管支吊架
</t>
    </r>
    <r>
      <rPr>
        <sz val="9"/>
        <color rgb="FF1F4E79"/>
        <rFont val="Arial"/>
        <family val="0"/>
        <charset val="1"/>
      </rPr>
      <t xml:space="preserve">Giá treo đỡ máng cáp, ống luồn dây</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</si>
  <si>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角钢、丝杆
</t>
    </r>
    <r>
      <rPr>
        <sz val="9"/>
        <color rgb="FF1F4E79"/>
        <rFont val="Arial"/>
        <family val="0"/>
        <charset val="1"/>
      </rPr>
      <t xml:space="preserve">2. Vật liệu: thép góc, ty ren</t>
    </r>
  </si>
  <si>
    <r>
      <rPr>
        <sz val="9"/>
        <rFont val="WenQuanYi Zen Hei"/>
        <family val="2"/>
      </rPr>
      <t xml:space="preserve">安装辅材
</t>
    </r>
    <r>
      <rPr>
        <sz val="9"/>
        <color rgb="FF1F4E79"/>
        <rFont val="Arial"/>
        <family val="0"/>
        <charset val="1"/>
      </rPr>
      <t xml:space="preserve">Vật tư phụ lắp đặt</t>
    </r>
  </si>
  <si>
    <r>
      <rPr>
        <sz val="9"/>
        <rFont val="WenQuanYi Zen Hei"/>
        <family val="2"/>
      </rPr>
      <t xml:space="preserve">线耳、扎带、电工胶布等
</t>
    </r>
    <r>
      <rPr>
        <sz val="9"/>
        <color rgb="FF1F4E79"/>
        <rFont val="Arial"/>
        <family val="0"/>
        <charset val="1"/>
      </rPr>
      <t xml:space="preserve">Đầu cốt, dây rút, băng keo điện, v.v.</t>
    </r>
  </si>
  <si>
    <r>
      <rPr>
        <sz val="9"/>
        <rFont val="WenQuanYi Zen Hei"/>
        <family val="2"/>
      </rPr>
      <t xml:space="preserve">冷水机组接线
</t>
    </r>
    <r>
      <rPr>
        <sz val="9"/>
        <color rgb="FF1F4E79"/>
        <rFont val="Arial"/>
        <family val="0"/>
        <charset val="1"/>
      </rPr>
      <t xml:space="preserve">Đấu nối dây cụm máy làm lạnh nước (chiller)</t>
    </r>
  </si>
  <si>
    <r>
      <rPr>
        <b val="true"/>
        <sz val="9"/>
        <rFont val="WenQuanYi Zen Hei"/>
        <family val="2"/>
      </rPr>
      <t xml:space="preserve">四、
</t>
    </r>
    <r>
      <rPr>
        <b val="true"/>
        <sz val="9"/>
        <color rgb="FF1F4E79"/>
        <rFont val="Arial"/>
        <family val="0"/>
        <charset val="1"/>
      </rPr>
      <t xml:space="preserve">IV.</t>
    </r>
  </si>
  <si>
    <r>
      <rPr>
        <b val="true"/>
        <sz val="9"/>
        <rFont val="WenQuanYi Zen Hei"/>
        <family val="2"/>
      </rPr>
      <t xml:space="preserve">其他部分
</t>
    </r>
    <r>
      <rPr>
        <b val="true"/>
        <sz val="9"/>
        <color rgb="FF1F4E79"/>
        <rFont val="Arial"/>
        <family val="0"/>
        <charset val="1"/>
      </rPr>
      <t xml:space="preserve">Phần khác</t>
    </r>
  </si>
  <si>
    <r>
      <rPr>
        <sz val="9"/>
        <rFont val="WenQuanYi Zen Hei"/>
        <family val="2"/>
      </rPr>
      <t xml:space="preserve">搬运及吊车费
</t>
    </r>
    <r>
      <rPr>
        <sz val="9"/>
        <color rgb="FF1F4E79"/>
        <rFont val="Arial"/>
        <family val="0"/>
        <charset val="1"/>
      </rPr>
      <t xml:space="preserve">Chi phí bốc xếp vận chuyển và xe cẩu</t>
    </r>
  </si>
  <si>
    <r>
      <rPr>
        <sz val="9"/>
        <rFont val="WenQuanYi Zen Hei"/>
        <family val="2"/>
      </rPr>
      <t xml:space="preserve">脚手架搭拆费
</t>
    </r>
    <r>
      <rPr>
        <sz val="9"/>
        <color rgb="FF1F4E79"/>
        <rFont val="Arial"/>
        <family val="0"/>
        <charset val="1"/>
      </rPr>
      <t xml:space="preserve">Chi phí dựng, tháo giàn giáo</t>
    </r>
  </si>
  <si>
    <r>
      <rPr>
        <b val="true"/>
        <sz val="9"/>
        <rFont val="WenQuanYi Zen Hei"/>
        <family val="2"/>
      </rPr>
      <t xml:space="preserve">合计（一</t>
    </r>
    <r>
      <rPr>
        <b val="true"/>
        <sz val="9"/>
        <rFont val="宋体"/>
        <family val="0"/>
        <charset val="1"/>
      </rPr>
      <t xml:space="preserve">+</t>
    </r>
    <r>
      <rPr>
        <b val="true"/>
        <sz val="9"/>
        <rFont val="WenQuanYi Zen Hei"/>
        <family val="2"/>
      </rPr>
      <t xml:space="preserve">二</t>
    </r>
    <r>
      <rPr>
        <b val="true"/>
        <sz val="9"/>
        <rFont val="宋体"/>
        <family val="0"/>
        <charset val="1"/>
      </rPr>
      <t xml:space="preserve">+</t>
    </r>
    <r>
      <rPr>
        <b val="true"/>
        <sz val="9"/>
        <rFont val="WenQuanYi Zen Hei"/>
        <family val="2"/>
      </rPr>
      <t xml:space="preserve">三</t>
    </r>
    <r>
      <rPr>
        <b val="true"/>
        <sz val="9"/>
        <rFont val="宋体"/>
        <family val="0"/>
        <charset val="1"/>
      </rPr>
      <t xml:space="preserve">+</t>
    </r>
    <r>
      <rPr>
        <b val="true"/>
        <sz val="9"/>
        <rFont val="WenQuanYi Zen Hei"/>
        <family val="2"/>
      </rPr>
      <t xml:space="preserve">四）：
</t>
    </r>
    <r>
      <rPr>
        <b val="true"/>
        <sz val="9"/>
        <color rgb="FF1F4E79"/>
        <rFont val="Arial"/>
        <family val="0"/>
        <charset val="1"/>
      </rPr>
      <t xml:space="preserve">Tổng cộng (I+II+III+IV):</t>
    </r>
  </si>
  <si>
    <r>
      <rPr>
        <b val="true"/>
        <sz val="9"/>
        <rFont val="WenQuanYi Zen Hei"/>
        <family val="2"/>
      </rPr>
      <t xml:space="preserve">工程名称：</t>
    </r>
    <r>
      <rPr>
        <b val="true"/>
        <sz val="9"/>
        <rFont val="宋体"/>
        <family val="0"/>
        <charset val="1"/>
      </rPr>
      <t xml:space="preserve">BP2</t>
    </r>
    <r>
      <rPr>
        <b val="true"/>
        <sz val="9"/>
        <rFont val="WenQuanYi Zen Hei"/>
        <family val="2"/>
      </rPr>
      <t xml:space="preserve">制冷机房智能自控系统工程
</t>
    </r>
    <r>
      <rPr>
        <b val="true"/>
        <sz val="9"/>
        <color rgb="FF1F4E79"/>
        <rFont val="Arial"/>
        <family val="0"/>
        <charset val="1"/>
      </rPr>
      <t xml:space="preserve">Tên công trình: Công trình hệ thống điều khiển tự động thông minh phòng máy lạnh trung tâm BP2</t>
    </r>
  </si>
  <si>
    <r>
      <rPr>
        <sz val="9"/>
        <rFont val="WenQuanYi Zen Hei"/>
        <family val="2"/>
      </rPr>
      <t xml:space="preserve">监控中心
</t>
    </r>
    <r>
      <rPr>
        <sz val="9"/>
        <color rgb="FF1F4E79"/>
        <rFont val="Arial"/>
        <family val="0"/>
        <charset val="1"/>
      </rPr>
      <t xml:space="preserve">Trung tâm giám sát</t>
    </r>
  </si>
  <si>
    <r>
      <rPr>
        <sz val="9"/>
        <rFont val="WenQuanYi Zen Hei"/>
        <family val="2"/>
      </rPr>
      <t xml:space="preserve">英特尔酷睿</t>
    </r>
    <r>
      <rPr>
        <sz val="9"/>
        <rFont val="宋体"/>
        <family val="0"/>
        <charset val="1"/>
      </rPr>
      <t xml:space="preserve">CPU</t>
    </r>
    <r>
      <rPr>
        <sz val="9"/>
        <rFont val="WenQuanYi Zen Hei"/>
        <family val="2"/>
      </rPr>
      <t xml:space="preserve">，</t>
    </r>
    <r>
      <rPr>
        <sz val="9"/>
        <rFont val="宋体"/>
        <family val="0"/>
        <charset val="1"/>
      </rPr>
      <t xml:space="preserve">i5-10400</t>
    </r>
    <r>
      <rPr>
        <sz val="9"/>
        <rFont val="WenQuanYi Zen Hei"/>
        <family val="2"/>
      </rPr>
      <t xml:space="preserve">，</t>
    </r>
    <r>
      <rPr>
        <sz val="9"/>
        <rFont val="宋体"/>
        <family val="0"/>
        <charset val="1"/>
      </rPr>
      <t xml:space="preserve">8G</t>
    </r>
    <r>
      <rPr>
        <sz val="9"/>
        <rFont val="WenQuanYi Zen Hei"/>
        <family val="2"/>
      </rPr>
      <t xml:space="preserve">内存，</t>
    </r>
    <r>
      <rPr>
        <sz val="9"/>
        <rFont val="宋体"/>
        <family val="0"/>
        <charset val="1"/>
      </rPr>
      <t xml:space="preserve">1T</t>
    </r>
    <r>
      <rPr>
        <sz val="9"/>
        <rFont val="WenQuanYi Zen Hei"/>
        <family val="2"/>
      </rPr>
      <t xml:space="preserve">硬盘，</t>
    </r>
    <r>
      <rPr>
        <sz val="9"/>
        <rFont val="宋体"/>
        <family val="0"/>
        <charset val="1"/>
      </rPr>
      <t xml:space="preserve">win10</t>
    </r>
    <r>
      <rPr>
        <sz val="9"/>
        <rFont val="WenQuanYi Zen Hei"/>
        <family val="2"/>
      </rPr>
      <t xml:space="preserve">系统，</t>
    </r>
    <r>
      <rPr>
        <sz val="9"/>
        <rFont val="宋体"/>
        <family val="0"/>
        <charset val="1"/>
      </rPr>
      <t xml:space="preserve">23</t>
    </r>
    <r>
      <rPr>
        <sz val="9"/>
        <rFont val="WenQuanYi Zen Hei"/>
        <family val="2"/>
      </rPr>
      <t xml:space="preserve">英寸液晶显示器，含键盘鼠标
</t>
    </r>
    <r>
      <rPr>
        <sz val="9"/>
        <color rgb="FF1F4E79"/>
        <rFont val="Arial"/>
        <family val="0"/>
        <charset val="1"/>
      </rPr>
      <t xml:space="preserve">CPU Intel Core i5-10400, RAM 8G, ổ cứng 1T, hệ điều hành Win10, màn hình LCD 23 inch, bao gồm bàn phím và chuột</t>
    </r>
  </si>
  <si>
    <r>
      <rPr>
        <sz val="9"/>
        <rFont val="WenQuanYi Zen Hei"/>
        <family val="2"/>
      </rPr>
      <t xml:space="preserve">华为、联想、</t>
    </r>
    <r>
      <rPr>
        <sz val="9"/>
        <rFont val="宋体"/>
        <family val="0"/>
        <charset val="1"/>
      </rPr>
      <t xml:space="preserve">DELL
</t>
    </r>
    <r>
      <rPr>
        <sz val="9"/>
        <color rgb="FF1F4E79"/>
        <rFont val="Arial"/>
        <family val="0"/>
        <charset val="1"/>
      </rPr>
      <t xml:space="preserve">Huawei, Lenovo, DELL</t>
    </r>
  </si>
  <si>
    <r>
      <rPr>
        <sz val="9"/>
        <rFont val="宋体"/>
        <family val="0"/>
        <charset val="1"/>
      </rPr>
      <t xml:space="preserve">UPS</t>
    </r>
    <r>
      <rPr>
        <sz val="9"/>
        <rFont val="WenQuanYi Zen Hei"/>
        <family val="2"/>
      </rPr>
      <t xml:space="preserve">电源
</t>
    </r>
    <r>
      <rPr>
        <sz val="9"/>
        <color rgb="FF1F4E79"/>
        <rFont val="Arial"/>
        <family val="0"/>
        <charset val="1"/>
      </rPr>
      <t xml:space="preserve">Bộ lưu điện UPS</t>
    </r>
  </si>
  <si>
    <t xml:space="preserve">3000W</t>
  </si>
  <si>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ACPL-08</t>
    </r>
  </si>
  <si>
    <r>
      <rPr>
        <sz val="9"/>
        <rFont val="宋体"/>
        <family val="0"/>
        <charset val="1"/>
      </rPr>
      <t xml:space="preserve">1.</t>
    </r>
    <r>
      <rPr>
        <sz val="9"/>
        <rFont val="WenQuanYi Zen Hei"/>
        <family val="2"/>
      </rPr>
      <t xml:space="preserve">名称：</t>
    </r>
    <r>
      <rPr>
        <sz val="9"/>
        <rFont val="宋体"/>
        <family val="0"/>
        <charset val="1"/>
      </rPr>
      <t xml:space="preserve">PLC</t>
    </r>
    <r>
      <rPr>
        <sz val="9"/>
        <rFont val="WenQuanYi Zen Hei"/>
        <family val="2"/>
      </rPr>
      <t xml:space="preserve">自动控制柜
</t>
    </r>
    <r>
      <rPr>
        <sz val="9"/>
        <color rgb="FF1F4E79"/>
        <rFont val="Arial"/>
        <family val="0"/>
        <charset val="1"/>
      </rPr>
      <t xml:space="preserve">1. Tên: tủ điều khiển tự động PLC
</t>
    </r>
    <r>
      <rPr>
        <sz val="9"/>
        <rFont val="宋体"/>
        <family val="0"/>
        <charset val="1"/>
      </rPr>
      <t xml:space="preserve">2.</t>
    </r>
    <r>
      <rPr>
        <sz val="9"/>
        <rFont val="WenQuanYi Zen Hei"/>
        <family val="2"/>
      </rPr>
      <t xml:space="preserve">编号：</t>
    </r>
    <r>
      <rPr>
        <sz val="9"/>
        <rFont val="宋体"/>
        <family val="0"/>
        <charset val="1"/>
      </rPr>
      <t xml:space="preserve">ACPL-08
</t>
    </r>
    <r>
      <rPr>
        <sz val="9"/>
        <color rgb="FF1F4E79"/>
        <rFont val="Arial"/>
        <family val="0"/>
        <charset val="1"/>
      </rPr>
      <t xml:space="preserve">2. Mã hiệu: ACPL-08
</t>
    </r>
    <r>
      <rPr>
        <sz val="9"/>
        <rFont val="宋体"/>
        <family val="0"/>
        <charset val="1"/>
      </rPr>
      <t xml:space="preserve">3.</t>
    </r>
    <r>
      <rPr>
        <sz val="9"/>
        <rFont val="WenQuanYi Zen Hei"/>
        <family val="2"/>
      </rPr>
      <t xml:space="preserve">成品柜，内含</t>
    </r>
    <r>
      <rPr>
        <sz val="9"/>
        <rFont val="宋体"/>
        <family val="0"/>
        <charset val="1"/>
      </rPr>
      <t xml:space="preserve">PLC</t>
    </r>
    <r>
      <rPr>
        <sz val="9"/>
        <rFont val="WenQuanYi Zen Hei"/>
        <family val="2"/>
      </rPr>
      <t xml:space="preserve">控制器、</t>
    </r>
    <r>
      <rPr>
        <sz val="9"/>
        <rFont val="宋体"/>
        <family val="0"/>
        <charset val="1"/>
      </rPr>
      <t xml:space="preserve">15</t>
    </r>
    <r>
      <rPr>
        <sz val="9"/>
        <rFont val="WenQuanYi Zen Hei"/>
        <family val="2"/>
      </rPr>
      <t xml:space="preserve">英寸触摸屏、</t>
    </r>
    <r>
      <rPr>
        <sz val="9"/>
        <rFont val="宋体"/>
        <family val="0"/>
        <charset val="1"/>
      </rPr>
      <t xml:space="preserve">I/O</t>
    </r>
    <r>
      <rPr>
        <sz val="9"/>
        <rFont val="WenQuanYi Zen Hei"/>
        <family val="2"/>
      </rPr>
      <t xml:space="preserve">扩展模块、交换机、网关、中间继电器、接线端子、电源等
</t>
    </r>
    <r>
      <rPr>
        <sz val="9"/>
        <color rgb="FF1F4E79"/>
        <rFont val="Arial"/>
        <family val="0"/>
        <charset val="1"/>
      </rPr>
      <t xml:space="preserve">3. Tủ thành phẩm, bên trong gồm bộ điều khiển PLC, màn hình cảm ứng 15 inch, mô-đun mở rộng I/O, bộ chuyển mạch (switch), cổng kết nối (gateway), rơ le trung gian, cầu đấu dây, nguồn điện,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1800*800*800
</t>
    </r>
    <r>
      <rPr>
        <sz val="9"/>
        <color rgb="FF1F4E79"/>
        <rFont val="Arial"/>
        <family val="0"/>
        <charset val="1"/>
      </rPr>
      <t xml:space="preserve">5. Vỏ tủ kiểu Rittal: 1800*800*800</t>
    </r>
  </si>
  <si>
    <r>
      <rPr>
        <sz val="9"/>
        <rFont val="宋体"/>
        <family val="0"/>
        <charset val="1"/>
      </rPr>
      <t xml:space="preserve">PLC</t>
    </r>
    <r>
      <rPr>
        <sz val="9"/>
        <rFont val="WenQuanYi Zen Hei"/>
        <family val="2"/>
      </rPr>
      <t xml:space="preserve">控制器：西门子
</t>
    </r>
    <r>
      <rPr>
        <sz val="9"/>
        <color rgb="FF1F4E79"/>
        <rFont val="Arial"/>
        <family val="0"/>
        <charset val="1"/>
      </rPr>
      <t xml:space="preserve">Bộ điều khiển PLC: Siemens
</t>
    </r>
    <r>
      <rPr>
        <sz val="9"/>
        <rFont val="WenQuanYi Zen Hei"/>
        <family val="2"/>
      </rPr>
      <t xml:space="preserve">触摸屏：昆仑通泰、海为
</t>
    </r>
    <r>
      <rPr>
        <sz val="9"/>
        <color rgb="FF1F4E79"/>
        <rFont val="Arial"/>
        <family val="0"/>
        <charset val="1"/>
      </rPr>
      <t xml:space="preserve">Màn hình cảm ứng: Kunlun Tongtai (MCGS), Haiwell
</t>
    </r>
    <r>
      <rPr>
        <sz val="9"/>
        <rFont val="WenQuanYi Zen Hei"/>
        <family val="2"/>
      </rPr>
      <t xml:space="preserve">电气元器件：</t>
    </r>
    <r>
      <rPr>
        <sz val="9"/>
        <rFont val="宋体"/>
        <family val="0"/>
        <charset val="1"/>
      </rPr>
      <t xml:space="preserve">ABB</t>
    </r>
    <r>
      <rPr>
        <sz val="9"/>
        <rFont val="WenQuanYi Zen Hei"/>
        <family val="2"/>
      </rPr>
      <t xml:space="preserve">、施耐德
</t>
    </r>
    <r>
      <rPr>
        <sz val="9"/>
        <color rgb="FF1F4E79"/>
        <rFont val="Arial"/>
        <family val="0"/>
        <charset val="1"/>
      </rPr>
      <t xml:space="preserve">Linh kiện điện: ABB, Schneider</t>
    </r>
  </si>
  <si>
    <r>
      <rPr>
        <sz val="9"/>
        <rFont val="WenQuanYi Zen Hei"/>
        <family val="2"/>
      </rPr>
      <t xml:space="preserve">智能群控系统软件及编程
</t>
    </r>
    <r>
      <rPr>
        <sz val="9"/>
        <color rgb="FF1F4E79"/>
        <rFont val="Arial"/>
        <family val="0"/>
        <charset val="1"/>
      </rPr>
      <t xml:space="preserve">Phần mềm hệ thống điều khiển nhóm thông minh và lập trình</t>
    </r>
  </si>
  <si>
    <r>
      <rPr>
        <sz val="9"/>
        <rFont val="宋体"/>
        <family val="0"/>
        <charset val="1"/>
      </rPr>
      <t xml:space="preserve">1.</t>
    </r>
    <r>
      <rPr>
        <sz val="9"/>
        <rFont val="WenQuanYi Zen Hei"/>
        <family val="2"/>
      </rPr>
      <t xml:space="preserve">机房设备联动控制，实现水冷机组、冷冻水泵、冷却水泵、冷却塔、电动阀的联动控制，台数控制，时间控制，备用泵的自动切换，手自动切换
</t>
    </r>
    <r>
      <rPr>
        <sz val="9"/>
        <color rgb="FF1F4E79"/>
        <rFont val="Arial"/>
        <family val="0"/>
        <charset val="1"/>
      </rPr>
      <t xml:space="preserve">1. Điều khiển liên động thiết bị phòng máy, thực hiện điều khiển liên động cụm máy làm lạnh giải nhiệt nước, bơm nước lạnh, bơm nước giải nhiệt, tháp giải nhiệt, van điện; điều khiển số lượng máy chạy, điều khiển theo thời gian, tự động chuyển đổi bơm dự phòng, chuyển đổi tay/tự động
</t>
    </r>
    <r>
      <rPr>
        <sz val="9"/>
        <rFont val="宋体"/>
        <family val="0"/>
        <charset val="1"/>
      </rPr>
      <t xml:space="preserve">2.</t>
    </r>
    <r>
      <rPr>
        <sz val="9"/>
        <rFont val="WenQuanYi Zen Hei"/>
        <family val="2"/>
      </rPr>
      <t xml:space="preserve">多功能电表、冷热量、设备数据、气象数据等多维数据采集
</t>
    </r>
    <r>
      <rPr>
        <sz val="9"/>
        <color rgb="FF1F4E79"/>
        <rFont val="Arial"/>
        <family val="0"/>
        <charset val="1"/>
      </rPr>
      <t xml:space="preserve">2. Thu thập dữ liệu đa chiều: đồng hồ điện đa chức năng, nhiệt lượng lạnh/nóng, dữ liệu thiết bị, dữ liệu khí tượng, v.v.
</t>
    </r>
    <r>
      <rPr>
        <sz val="9"/>
        <rFont val="宋体"/>
        <family val="0"/>
        <charset val="1"/>
      </rPr>
      <t xml:space="preserve">3.</t>
    </r>
    <r>
      <rPr>
        <sz val="9"/>
        <rFont val="WenQuanYi Zen Hei"/>
        <family val="2"/>
      </rPr>
      <t xml:space="preserve">实时监测冷水机组、冷冻水泵、冷却水泵、冷却塔的实际能效值 
</t>
    </r>
    <r>
      <rPr>
        <sz val="9"/>
        <color rgb="FF1F4E79"/>
        <rFont val="Arial"/>
        <family val="0"/>
        <charset val="1"/>
      </rPr>
      <t xml:space="preserve">3. Giám sát theo thời gian thực giá trị hiệu suất năng lượng thực tế của cụm máy làm lạnh nước, bơm nước lạnh, bơm nước giải nhiệt, tháp giải nhiệt
</t>
    </r>
    <r>
      <rPr>
        <sz val="9"/>
        <rFont val="宋体"/>
        <family val="0"/>
        <charset val="1"/>
      </rPr>
      <t xml:space="preserve">4.</t>
    </r>
    <r>
      <rPr>
        <sz val="9"/>
        <rFont val="WenQuanYi Zen Hei"/>
        <family val="2"/>
      </rPr>
      <t xml:space="preserve">控制逻辑： 基于负荷预测、故障诊断、优化控制算法实现制冷机房的全工况高效运行
</t>
    </r>
    <r>
      <rPr>
        <sz val="9"/>
        <color rgb="FF1F4E79"/>
        <rFont val="Arial"/>
        <family val="0"/>
        <charset val="1"/>
      </rPr>
      <t xml:space="preserve">4. Logic điều khiển: dựa trên dự báo phụ tải, chẩn đoán sự cố, thuật toán điều khiển tối ưu để thực hiện vận hành hiệu suất cao ở mọi điều kiện làm việc của phòng máy lạnh trung tâm</t>
    </r>
  </si>
  <si>
    <r>
      <rPr>
        <sz val="9"/>
        <rFont val="WenQuanYi Zen Hei"/>
        <family val="2"/>
      </rPr>
      <t xml:space="preserve">套
</t>
    </r>
    <r>
      <rPr>
        <sz val="9"/>
        <color rgb="FF1F4E79"/>
        <rFont val="Arial"/>
        <family val="0"/>
        <charset val="1"/>
      </rPr>
      <t xml:space="preserve">Bộ</t>
    </r>
  </si>
  <si>
    <r>
      <rPr>
        <sz val="9"/>
        <rFont val="WenQuanYi Zen Hei"/>
        <family val="2"/>
      </rPr>
      <t xml:space="preserve">智慧能效管控云平台
</t>
    </r>
    <r>
      <rPr>
        <sz val="9"/>
        <color rgb="FF1F4E79"/>
        <rFont val="Arial"/>
        <family val="0"/>
        <charset val="1"/>
      </rPr>
      <t xml:space="preserve">Nền tảng đám mây quản lý điều khiển hiệu suất năng lượng thông minh</t>
    </r>
  </si>
  <si>
    <r>
      <rPr>
        <sz val="9"/>
        <rFont val="宋体"/>
        <family val="0"/>
        <charset val="1"/>
      </rPr>
      <t xml:space="preserve">1.Web</t>
    </r>
    <r>
      <rPr>
        <sz val="9"/>
        <rFont val="WenQuanYi Zen Hei"/>
        <family val="2"/>
      </rPr>
      <t xml:space="preserve">端</t>
    </r>
    <r>
      <rPr>
        <sz val="9"/>
        <rFont val="宋体"/>
        <family val="0"/>
        <charset val="1"/>
      </rPr>
      <t xml:space="preserve">+</t>
    </r>
    <r>
      <rPr>
        <sz val="9"/>
        <rFont val="WenQuanYi Zen Hei"/>
        <family val="2"/>
      </rPr>
      <t xml:space="preserve">手机</t>
    </r>
    <r>
      <rPr>
        <sz val="9"/>
        <rFont val="宋体"/>
        <family val="0"/>
        <charset val="1"/>
      </rPr>
      <t xml:space="preserve">APP</t>
    </r>
    <r>
      <rPr>
        <sz val="9"/>
        <rFont val="WenQuanYi Zen Hei"/>
        <family val="2"/>
      </rPr>
      <t xml:space="preserve">访问及管理软件
</t>
    </r>
    <r>
      <rPr>
        <sz val="9"/>
        <color rgb="FF1F4E79"/>
        <rFont val="Arial"/>
        <family val="0"/>
        <charset val="1"/>
      </rPr>
      <t xml:space="preserve">1. Phần mềm truy cập và quản lý trên nền Web + ứng dụng điện thoại (APP)
</t>
    </r>
    <r>
      <rPr>
        <sz val="9"/>
        <rFont val="宋体"/>
        <family val="0"/>
        <charset val="1"/>
      </rPr>
      <t xml:space="preserve">2.</t>
    </r>
    <r>
      <rPr>
        <sz val="9"/>
        <rFont val="WenQuanYi Zen Hei"/>
        <family val="2"/>
      </rPr>
      <t xml:space="preserve">设备监控系统、能源管理、能效优化、系统设置、设备管理、大数据分析、运行及告警日志、权限管理等
</t>
    </r>
    <r>
      <rPr>
        <sz val="9"/>
        <color rgb="FF1F4E79"/>
        <rFont val="Arial"/>
        <family val="0"/>
        <charset val="1"/>
      </rPr>
      <t xml:space="preserve">2. Hệ thống giám sát thiết bị, quản lý năng lượng, tối ưu hiệu suất năng lượng, cài đặt hệ thống, quản lý thiết bị, phân tích dữ liệu lớn, nhật ký vận hành và cảnh báo, quản lý phân quyền, v.v.
</t>
    </r>
    <r>
      <rPr>
        <sz val="9"/>
        <rFont val="宋体"/>
        <family val="0"/>
        <charset val="1"/>
      </rPr>
      <t xml:space="preserve">3.</t>
    </r>
    <r>
      <rPr>
        <sz val="9"/>
        <rFont val="WenQuanYi Zen Hei"/>
        <family val="2"/>
      </rPr>
      <t xml:space="preserve">云端数据存储及维护服务
</t>
    </r>
    <r>
      <rPr>
        <sz val="9"/>
        <color rgb="FF1F4E79"/>
        <rFont val="Arial"/>
        <family val="0"/>
        <charset val="1"/>
      </rPr>
      <t xml:space="preserve">3. Dịch vụ lưu trữ và bảo trì dữ liệu trên đám mây</t>
    </r>
  </si>
  <si>
    <r>
      <rPr>
        <sz val="9"/>
        <rFont val="WenQuanYi Zen Hei"/>
        <family val="2"/>
      </rPr>
      <t xml:space="preserve">现场系统调试，技术指导
</t>
    </r>
    <r>
      <rPr>
        <sz val="9"/>
        <color rgb="FF1F4E79"/>
        <rFont val="Arial"/>
        <family val="0"/>
        <charset val="1"/>
      </rPr>
      <t xml:space="preserve">Chạy thử hệ thống tại hiện trường, hướng dẫn kỹ thuật</t>
    </r>
  </si>
  <si>
    <r>
      <rPr>
        <sz val="9"/>
        <rFont val="WenQuanYi Zen Hei"/>
        <family val="2"/>
      </rPr>
      <t xml:space="preserve">现场调试，校验，数值验证，技术安装指导等
</t>
    </r>
    <r>
      <rPr>
        <sz val="9"/>
        <color rgb="FF1F4E79"/>
        <rFont val="Arial"/>
        <family val="0"/>
        <charset val="1"/>
      </rPr>
      <t xml:space="preserve">Chạy thử tại hiện trường, hiệu chuẩn, xác minh số liệu, hướng dẫn lắp đặt kỹ thuật, v.v.</t>
    </r>
  </si>
  <si>
    <r>
      <rPr>
        <sz val="9"/>
        <rFont val="WenQuanYi Zen Hei"/>
        <family val="2"/>
      </rPr>
      <t xml:space="preserve">高精度室外温湿度传感器
</t>
    </r>
    <r>
      <rPr>
        <sz val="9"/>
        <color rgb="FF1F4E79"/>
        <rFont val="Arial"/>
        <family val="0"/>
        <charset val="1"/>
      </rPr>
      <t xml:space="preserve">Cảm biến nhiệt độ, độ ẩm ngoài trời độ chính xác cao</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</si>
  <si>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精度：温度</t>
    </r>
    <r>
      <rPr>
        <sz val="9"/>
        <rFont val="宋体"/>
        <family val="0"/>
        <charset val="1"/>
      </rPr>
      <t xml:space="preserve">0.3℃@25℃</t>
    </r>
    <r>
      <rPr>
        <sz val="9"/>
        <rFont val="WenQuanYi Zen Hei"/>
        <family val="2"/>
      </rPr>
      <t xml:space="preserve">，湿度</t>
    </r>
    <r>
      <rPr>
        <sz val="9"/>
        <rFont val="宋体"/>
        <family val="0"/>
        <charset val="1"/>
      </rPr>
      <t xml:space="preserve">±2%
</t>
    </r>
    <r>
      <rPr>
        <sz val="9"/>
        <color rgb="FF1F4E79"/>
        <rFont val="Arial"/>
        <family val="0"/>
        <charset val="1"/>
      </rPr>
      <t xml:space="preserve">2. Độ chính xác: nhiệt độ 0.3℃@25℃, độ ẩm ±2%
</t>
    </r>
    <r>
      <rPr>
        <sz val="9"/>
        <rFont val="宋体"/>
        <family val="0"/>
        <charset val="1"/>
      </rPr>
      <t xml:space="preserve">3.</t>
    </r>
    <r>
      <rPr>
        <sz val="9"/>
        <rFont val="WenQuanYi Zen Hei"/>
        <family val="2"/>
      </rPr>
      <t xml:space="preserve">信号输出：</t>
    </r>
    <r>
      <rPr>
        <sz val="9"/>
        <rFont val="宋体"/>
        <family val="0"/>
        <charset val="1"/>
      </rPr>
      <t xml:space="preserve">4-20mA
</t>
    </r>
    <r>
      <rPr>
        <sz val="9"/>
        <color rgb="FF1F4E79"/>
        <rFont val="Arial"/>
        <family val="0"/>
        <charset val="1"/>
      </rPr>
      <t xml:space="preserve">3. Tín hiệu đầu ra: 4-20mA
</t>
    </r>
    <r>
      <rPr>
        <sz val="9"/>
        <rFont val="宋体"/>
        <family val="0"/>
        <charset val="1"/>
      </rPr>
      <t xml:space="preserve">4.</t>
    </r>
    <r>
      <rPr>
        <sz val="9"/>
        <rFont val="WenQuanYi Zen Hei"/>
        <family val="2"/>
      </rPr>
      <t xml:space="preserve">防护等级：</t>
    </r>
    <r>
      <rPr>
        <sz val="9"/>
        <rFont val="宋体"/>
        <family val="0"/>
        <charset val="1"/>
      </rPr>
      <t xml:space="preserve">IP65
</t>
    </r>
    <r>
      <rPr>
        <sz val="9"/>
        <color rgb="FF1F4E79"/>
        <rFont val="Arial"/>
        <family val="0"/>
        <charset val="1"/>
      </rPr>
      <t xml:space="preserve">4. Cấp bảo vệ: IP65
</t>
    </r>
    <r>
      <rPr>
        <sz val="9"/>
        <rFont val="宋体"/>
        <family val="0"/>
        <charset val="1"/>
      </rPr>
      <t xml:space="preserve">5.</t>
    </r>
    <r>
      <rPr>
        <sz val="9"/>
        <rFont val="WenQuanYi Zen Hei"/>
        <family val="2"/>
      </rPr>
      <t xml:space="preserve">安装方式：壁挂式
</t>
    </r>
    <r>
      <rPr>
        <sz val="9"/>
        <color rgb="FF1F4E79"/>
        <rFont val="Arial"/>
        <family val="0"/>
        <charset val="1"/>
      </rPr>
      <t xml:space="preserve">5. Phương thức lắp đặt: treo tường</t>
    </r>
  </si>
  <si>
    <r>
      <rPr>
        <sz val="9"/>
        <rFont val="WenQuanYi Zen Hei"/>
        <family val="2"/>
      </rPr>
      <t xml:space="preserve">高精度压力传感器
</t>
    </r>
    <r>
      <rPr>
        <sz val="9"/>
        <color rgb="FF1F4E79"/>
        <rFont val="Arial"/>
        <family val="0"/>
        <charset val="1"/>
      </rPr>
      <t xml:space="preserve">Cảm biến áp suất độ chính xác cao</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</si>
  <si>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精度：</t>
    </r>
    <r>
      <rPr>
        <sz val="9"/>
        <rFont val="宋体"/>
        <family val="0"/>
        <charset val="1"/>
      </rPr>
      <t xml:space="preserve">±0.2%
</t>
    </r>
    <r>
      <rPr>
        <sz val="9"/>
        <color rgb="FF1F4E79"/>
        <rFont val="Arial"/>
        <family val="0"/>
        <charset val="1"/>
      </rPr>
      <t xml:space="preserve">2. Độ chính xác: ±0.2%
</t>
    </r>
    <r>
      <rPr>
        <sz val="9"/>
        <rFont val="宋体"/>
        <family val="0"/>
        <charset val="1"/>
      </rPr>
      <t xml:space="preserve">3.</t>
    </r>
    <r>
      <rPr>
        <sz val="9"/>
        <rFont val="WenQuanYi Zen Hei"/>
        <family val="2"/>
      </rPr>
      <t xml:space="preserve">信号输出：</t>
    </r>
    <r>
      <rPr>
        <sz val="9"/>
        <rFont val="宋体"/>
        <family val="0"/>
        <charset val="1"/>
      </rPr>
      <t xml:space="preserve">4-20mA
</t>
    </r>
    <r>
      <rPr>
        <sz val="9"/>
        <color rgb="FF1F4E79"/>
        <rFont val="Arial"/>
        <family val="0"/>
        <charset val="1"/>
      </rPr>
      <t xml:space="preserve">3. Tín hiệu đầu ra: 4-20mA
</t>
    </r>
    <r>
      <rPr>
        <sz val="9"/>
        <rFont val="宋体"/>
        <family val="0"/>
        <charset val="1"/>
      </rPr>
      <t xml:space="preserve">4.</t>
    </r>
    <r>
      <rPr>
        <sz val="9"/>
        <rFont val="WenQuanYi Zen Hei"/>
        <family val="2"/>
      </rPr>
      <t xml:space="preserve">防护等级：</t>
    </r>
    <r>
      <rPr>
        <sz val="9"/>
        <rFont val="宋体"/>
        <family val="0"/>
        <charset val="1"/>
      </rPr>
      <t xml:space="preserve">IP65
</t>
    </r>
    <r>
      <rPr>
        <sz val="9"/>
        <color rgb="FF1F4E79"/>
        <rFont val="Arial"/>
        <family val="0"/>
        <charset val="1"/>
      </rPr>
      <t xml:space="preserve">4. Cấp bảo vệ: IP65
</t>
    </r>
    <r>
      <rPr>
        <sz val="9"/>
        <rFont val="宋体"/>
        <family val="0"/>
        <charset val="1"/>
      </rPr>
      <t xml:space="preserve">5.</t>
    </r>
    <r>
      <rPr>
        <sz val="9"/>
        <rFont val="WenQuanYi Zen Hei"/>
        <family val="2"/>
      </rPr>
      <t xml:space="preserve">安装方式：插入式
</t>
    </r>
    <r>
      <rPr>
        <sz val="9"/>
        <color rgb="FF1F4E79"/>
        <rFont val="Arial"/>
        <family val="0"/>
        <charset val="1"/>
      </rPr>
      <t xml:space="preserve">5. Phương thức lắp đặt: kiểu cắm
</t>
    </r>
    <r>
      <rPr>
        <sz val="9"/>
        <rFont val="宋体"/>
        <family val="0"/>
        <charset val="1"/>
      </rPr>
      <t xml:space="preserve">6.</t>
    </r>
    <r>
      <rPr>
        <sz val="9"/>
        <rFont val="WenQuanYi Zen Hei"/>
        <family val="2"/>
      </rPr>
      <t xml:space="preserve">附件：配底座
</t>
    </r>
    <r>
      <rPr>
        <sz val="9"/>
        <color rgb="FF1F4E79"/>
        <rFont val="Arial"/>
        <family val="0"/>
        <charset val="1"/>
      </rPr>
      <t xml:space="preserve">6. Phụ kiện: kèm đế</t>
    </r>
  </si>
  <si>
    <r>
      <rPr>
        <sz val="9"/>
        <rFont val="WenQuanYi Zen Hei"/>
        <family val="2"/>
      </rPr>
      <t xml:space="preserve">高精度温度传感器
</t>
    </r>
    <r>
      <rPr>
        <sz val="9"/>
        <color rgb="FF1F4E79"/>
        <rFont val="Arial"/>
        <family val="0"/>
        <charset val="1"/>
      </rPr>
      <t xml:space="preserve">Cảm biến nhiệt độ độ chính xác cao</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</si>
  <si>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精度：</t>
    </r>
    <r>
      <rPr>
        <sz val="9"/>
        <rFont val="宋体"/>
        <family val="0"/>
        <charset val="1"/>
      </rPr>
      <t xml:space="preserve">±0.05℃
</t>
    </r>
    <r>
      <rPr>
        <sz val="9"/>
        <color rgb="FF1F4E79"/>
        <rFont val="Arial"/>
        <family val="0"/>
        <charset val="1"/>
      </rPr>
      <t xml:space="preserve">2. Độ chính xác: ±0.05℃
</t>
    </r>
    <r>
      <rPr>
        <sz val="9"/>
        <rFont val="宋体"/>
        <family val="0"/>
        <charset val="1"/>
      </rPr>
      <t xml:space="preserve">3.</t>
    </r>
    <r>
      <rPr>
        <sz val="9"/>
        <rFont val="WenQuanYi Zen Hei"/>
        <family val="2"/>
      </rPr>
      <t xml:space="preserve">信号输出：</t>
    </r>
    <r>
      <rPr>
        <sz val="9"/>
        <rFont val="宋体"/>
        <family val="0"/>
        <charset val="1"/>
      </rPr>
      <t xml:space="preserve">4-20mA
</t>
    </r>
    <r>
      <rPr>
        <sz val="9"/>
        <color rgb="FF1F4E79"/>
        <rFont val="Arial"/>
        <family val="0"/>
        <charset val="1"/>
      </rPr>
      <t xml:space="preserve">3. Tín hiệu đầu ra: 4-20mA
</t>
    </r>
    <r>
      <rPr>
        <sz val="9"/>
        <rFont val="宋体"/>
        <family val="0"/>
        <charset val="1"/>
      </rPr>
      <t xml:space="preserve">4.</t>
    </r>
    <r>
      <rPr>
        <sz val="9"/>
        <rFont val="WenQuanYi Zen Hei"/>
        <family val="2"/>
      </rPr>
      <t xml:space="preserve">防护等级：</t>
    </r>
    <r>
      <rPr>
        <sz val="9"/>
        <rFont val="宋体"/>
        <family val="0"/>
        <charset val="1"/>
      </rPr>
      <t xml:space="preserve">IP65
</t>
    </r>
    <r>
      <rPr>
        <sz val="9"/>
        <color rgb="FF1F4E79"/>
        <rFont val="Arial"/>
        <family val="0"/>
        <charset val="1"/>
      </rPr>
      <t xml:space="preserve">4. Cấp bảo vệ: IP65
</t>
    </r>
    <r>
      <rPr>
        <sz val="9"/>
        <rFont val="宋体"/>
        <family val="0"/>
        <charset val="1"/>
      </rPr>
      <t xml:space="preserve">5.</t>
    </r>
    <r>
      <rPr>
        <sz val="9"/>
        <rFont val="WenQuanYi Zen Hei"/>
        <family val="2"/>
      </rPr>
      <t xml:space="preserve">安装方式：插入式
</t>
    </r>
    <r>
      <rPr>
        <sz val="9"/>
        <color rgb="FF1F4E79"/>
        <rFont val="Arial"/>
        <family val="0"/>
        <charset val="1"/>
      </rPr>
      <t xml:space="preserve">5. Phương thức lắp đặt: kiểu cắm
</t>
    </r>
    <r>
      <rPr>
        <sz val="9"/>
        <rFont val="宋体"/>
        <family val="0"/>
        <charset val="1"/>
      </rPr>
      <t xml:space="preserve">6.</t>
    </r>
    <r>
      <rPr>
        <sz val="9"/>
        <rFont val="WenQuanYi Zen Hei"/>
        <family val="2"/>
      </rPr>
      <t xml:space="preserve">附件：配底座
</t>
    </r>
    <r>
      <rPr>
        <sz val="9"/>
        <color rgb="FF1F4E79"/>
        <rFont val="Arial"/>
        <family val="0"/>
        <charset val="1"/>
      </rPr>
      <t xml:space="preserve">6. Phụ kiện: kèm đế</t>
    </r>
  </si>
  <si>
    <r>
      <rPr>
        <sz val="9"/>
        <rFont val="WenQuanYi Zen Hei"/>
        <family val="2"/>
      </rPr>
      <t xml:space="preserve">液位传感器
</t>
    </r>
    <r>
      <rPr>
        <sz val="9"/>
        <color rgb="FF1F4E79"/>
        <rFont val="Arial"/>
        <family val="0"/>
        <charset val="1"/>
      </rPr>
      <t xml:space="preserve">Cảm biến mức chất lỏng</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</si>
  <si>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精度：</t>
    </r>
    <r>
      <rPr>
        <sz val="9"/>
        <rFont val="宋体"/>
        <family val="0"/>
        <charset val="1"/>
      </rPr>
      <t xml:space="preserve">±0.2%FS
</t>
    </r>
    <r>
      <rPr>
        <sz val="9"/>
        <color rgb="FF1F4E79"/>
        <rFont val="Arial"/>
        <family val="0"/>
        <charset val="1"/>
      </rPr>
      <t xml:space="preserve">2. Độ chính xác: ±0.2%FS
</t>
    </r>
    <r>
      <rPr>
        <sz val="9"/>
        <rFont val="宋体"/>
        <family val="0"/>
        <charset val="1"/>
      </rPr>
      <t xml:space="preserve">3.</t>
    </r>
    <r>
      <rPr>
        <sz val="9"/>
        <rFont val="WenQuanYi Zen Hei"/>
        <family val="2"/>
      </rPr>
      <t xml:space="preserve">信号输出：</t>
    </r>
    <r>
      <rPr>
        <sz val="9"/>
        <rFont val="宋体"/>
        <family val="0"/>
        <charset val="1"/>
      </rPr>
      <t xml:space="preserve">4-20mA
</t>
    </r>
    <r>
      <rPr>
        <sz val="9"/>
        <color rgb="FF1F4E79"/>
        <rFont val="Arial"/>
        <family val="0"/>
        <charset val="1"/>
      </rPr>
      <t xml:space="preserve">3. Tín hiệu đầu ra: 4-20mA
</t>
    </r>
    <r>
      <rPr>
        <sz val="9"/>
        <rFont val="宋体"/>
        <family val="0"/>
        <charset val="1"/>
      </rPr>
      <t xml:space="preserve">4.</t>
    </r>
    <r>
      <rPr>
        <sz val="9"/>
        <rFont val="WenQuanYi Zen Hei"/>
        <family val="2"/>
      </rPr>
      <t xml:space="preserve">防护等级：</t>
    </r>
    <r>
      <rPr>
        <sz val="9"/>
        <rFont val="宋体"/>
        <family val="0"/>
        <charset val="1"/>
      </rPr>
      <t xml:space="preserve">IP68
</t>
    </r>
    <r>
      <rPr>
        <sz val="9"/>
        <color rgb="FF1F4E79"/>
        <rFont val="Arial"/>
        <family val="0"/>
        <charset val="1"/>
      </rPr>
      <t xml:space="preserve">4. Cấp bảo vệ: IP68</t>
    </r>
  </si>
  <si>
    <r>
      <rPr>
        <sz val="9"/>
        <rFont val="WenQuanYi Zen Hei"/>
        <family val="2"/>
      </rPr>
      <t xml:space="preserve">管道式高精度电磁式流量计
</t>
    </r>
    <r>
      <rPr>
        <sz val="9"/>
        <color rgb="FF1F4E79"/>
        <rFont val="Arial"/>
        <family val="0"/>
        <charset val="1"/>
      </rPr>
      <t xml:space="preserve">Đồng hồ đo lưu lượng điện từ độ chính xác cao kiểu lắp trên đường ống</t>
    </r>
  </si>
  <si>
    <r>
      <rPr>
        <sz val="9"/>
        <rFont val="宋体"/>
        <family val="0"/>
        <charset val="1"/>
      </rPr>
      <t xml:space="preserve">1.</t>
    </r>
    <r>
      <rPr>
        <sz val="9"/>
        <rFont val="WenQuanYi Zen Hei"/>
        <family val="2"/>
      </rPr>
      <t xml:space="preserve">规格：</t>
    </r>
    <r>
      <rPr>
        <sz val="9"/>
        <rFont val="宋体"/>
        <family val="0"/>
        <charset val="1"/>
      </rPr>
      <t xml:space="preserve">DN300</t>
    </r>
    <r>
      <rPr>
        <sz val="9"/>
        <rFont val="WenQuanYi Zen Hei"/>
        <family val="2"/>
      </rPr>
      <t xml:space="preserve">，橡胶衬里，</t>
    </r>
    <r>
      <rPr>
        <sz val="9"/>
        <rFont val="宋体"/>
        <family val="0"/>
        <charset val="1"/>
      </rPr>
      <t xml:space="preserve">316L</t>
    </r>
    <r>
      <rPr>
        <sz val="9"/>
        <rFont val="WenQuanYi Zen Hei"/>
        <family val="2"/>
      </rPr>
      <t xml:space="preserve">电极，常温常压，常规流量范围，法兰连接
</t>
    </r>
    <r>
      <rPr>
        <sz val="9"/>
        <color rgb="FF1F4E79"/>
        <rFont val="Arial"/>
        <family val="0"/>
        <charset val="1"/>
      </rPr>
      <t xml:space="preserve">1. Quy cách: DN300, lót cao su, điện cực 316L, nhiệt độ thường áp suất thường, dải lưu lượng thông thường, nối mặt bích
</t>
    </r>
    <r>
      <rPr>
        <sz val="9"/>
        <rFont val="宋体"/>
        <family val="0"/>
        <charset val="1"/>
      </rPr>
      <t xml:space="preserve">2.</t>
    </r>
    <r>
      <rPr>
        <sz val="9"/>
        <rFont val="WenQuanYi Zen Hei"/>
        <family val="2"/>
      </rPr>
      <t xml:space="preserve">供电电源：</t>
    </r>
    <r>
      <rPr>
        <sz val="9"/>
        <rFont val="宋体"/>
        <family val="0"/>
        <charset val="1"/>
      </rPr>
      <t xml:space="preserve">24VDC
</t>
    </r>
    <r>
      <rPr>
        <sz val="9"/>
        <color rgb="FF1F4E79"/>
        <rFont val="Arial"/>
        <family val="0"/>
        <charset val="1"/>
      </rPr>
      <t xml:space="preserve">2. Nguồn cấp điện: 24VDC
</t>
    </r>
    <r>
      <rPr>
        <sz val="9"/>
        <rFont val="宋体"/>
        <family val="0"/>
        <charset val="1"/>
      </rPr>
      <t xml:space="preserve">3.</t>
    </r>
    <r>
      <rPr>
        <sz val="9"/>
        <rFont val="WenQuanYi Zen Hei"/>
        <family val="2"/>
      </rPr>
      <t xml:space="preserve">信号输出：</t>
    </r>
    <r>
      <rPr>
        <sz val="9"/>
        <rFont val="宋体"/>
        <family val="0"/>
        <charset val="1"/>
      </rPr>
      <t xml:space="preserve">4-20mA</t>
    </r>
    <r>
      <rPr>
        <sz val="9"/>
        <rFont val="WenQuanYi Zen Hei"/>
        <family val="2"/>
      </rPr>
      <t xml:space="preserve">，</t>
    </r>
    <r>
      <rPr>
        <sz val="9"/>
        <rFont val="宋体"/>
        <family val="0"/>
        <charset val="1"/>
      </rPr>
      <t xml:space="preserve">RS485</t>
    </r>
    <r>
      <rPr>
        <sz val="9"/>
        <rFont val="WenQuanYi Zen Hei"/>
        <family val="2"/>
      </rPr>
      <t xml:space="preserve">通讯
</t>
    </r>
    <r>
      <rPr>
        <sz val="9"/>
        <color rgb="FF1F4E79"/>
        <rFont val="Arial"/>
        <family val="0"/>
        <charset val="1"/>
      </rPr>
      <t xml:space="preserve">3. Tín hiệu đầu ra: 4-20mA, truyền thông RS485
</t>
    </r>
    <r>
      <rPr>
        <sz val="9"/>
        <rFont val="宋体"/>
        <family val="0"/>
        <charset val="1"/>
      </rPr>
      <t xml:space="preserve">4.</t>
    </r>
    <r>
      <rPr>
        <sz val="9"/>
        <rFont val="WenQuanYi Zen Hei"/>
        <family val="2"/>
      </rPr>
      <t xml:space="preserve">精度：</t>
    </r>
    <r>
      <rPr>
        <sz val="9"/>
        <rFont val="宋体"/>
        <family val="0"/>
        <charset val="1"/>
      </rPr>
      <t xml:space="preserve">0.5%
</t>
    </r>
    <r>
      <rPr>
        <sz val="9"/>
        <color rgb="FF1F4E79"/>
        <rFont val="Arial"/>
        <family val="0"/>
        <charset val="1"/>
      </rPr>
      <t xml:space="preserve">4. Độ chính xác: 0.5%
</t>
    </r>
    <r>
      <rPr>
        <sz val="9"/>
        <rFont val="宋体"/>
        <family val="0"/>
        <charset val="1"/>
      </rPr>
      <t xml:space="preserve">5.</t>
    </r>
    <r>
      <rPr>
        <sz val="9"/>
        <rFont val="WenQuanYi Zen Hei"/>
        <family val="2"/>
      </rPr>
      <t xml:space="preserve">配冷热量积算功能，精度：</t>
    </r>
    <r>
      <rPr>
        <sz val="9"/>
        <rFont val="宋体"/>
        <family val="0"/>
        <charset val="1"/>
      </rPr>
      <t xml:space="preserve">0.1℃L=6*200mm</t>
    </r>
    <r>
      <rPr>
        <sz val="9"/>
        <rFont val="WenQuanYi Zen Hei"/>
        <family val="2"/>
      </rPr>
      <t xml:space="preserve">（不含螺纹</t>
    </r>
    <r>
      <rPr>
        <sz val="9"/>
        <rFont val="宋体"/>
        <family val="0"/>
        <charset val="1"/>
      </rPr>
      <t xml:space="preserve">M20*1.5</t>
    </r>
    <r>
      <rPr>
        <sz val="9"/>
        <rFont val="WenQuanYi Zen Hei"/>
        <family val="2"/>
      </rPr>
      <t xml:space="preserve">），温度 </t>
    </r>
    <r>
      <rPr>
        <sz val="9"/>
        <rFont val="宋体"/>
        <family val="0"/>
        <charset val="1"/>
      </rPr>
      <t xml:space="preserve">0-100 </t>
    </r>
    <r>
      <rPr>
        <sz val="9"/>
        <rFont val="WenQuanYi Zen Hei"/>
        <family val="2"/>
      </rPr>
      <t xml:space="preserve">度，带螺纹底座
</t>
    </r>
    <r>
      <rPr>
        <sz val="9"/>
        <color rgb="FF1F4E79"/>
        <rFont val="Arial"/>
        <family val="0"/>
        <charset val="1"/>
      </rPr>
      <t xml:space="preserve">5. Kèm chức năng tích lũy nhiệt lượng lạnh/nóng, độ chính xác: 0.1℃ L=6*200mm (không bao gồm ren M20*1.5), nhiệt độ 0-100 độ, kèm đế ren</t>
    </r>
  </si>
  <si>
    <r>
      <rPr>
        <sz val="9"/>
        <rFont val="宋体"/>
        <family val="0"/>
        <charset val="1"/>
      </rPr>
      <t xml:space="preserve">1.</t>
    </r>
    <r>
      <rPr>
        <sz val="9"/>
        <rFont val="WenQuanYi Zen Hei"/>
        <family val="2"/>
      </rPr>
      <t xml:space="preserve">规格：</t>
    </r>
    <r>
      <rPr>
        <sz val="9"/>
        <rFont val="宋体"/>
        <family val="0"/>
        <charset val="1"/>
      </rPr>
      <t xml:space="preserve">DN600</t>
    </r>
    <r>
      <rPr>
        <sz val="9"/>
        <rFont val="WenQuanYi Zen Hei"/>
        <family val="2"/>
      </rPr>
      <t xml:space="preserve">，橡胶衬里，</t>
    </r>
    <r>
      <rPr>
        <sz val="9"/>
        <rFont val="宋体"/>
        <family val="0"/>
        <charset val="1"/>
      </rPr>
      <t xml:space="preserve">316L</t>
    </r>
    <r>
      <rPr>
        <sz val="9"/>
        <rFont val="WenQuanYi Zen Hei"/>
        <family val="2"/>
      </rPr>
      <t xml:space="preserve">电极，常温常压，常规流量范围，法兰连接
</t>
    </r>
    <r>
      <rPr>
        <sz val="9"/>
        <color rgb="FF1F4E79"/>
        <rFont val="Arial"/>
        <family val="0"/>
        <charset val="1"/>
      </rPr>
      <t xml:space="preserve">1. Quy cách: DN600, lót cao su, điện cực 316L, nhiệt độ thường áp suất thường, dải lưu lượng thông thường, nối mặt bích
</t>
    </r>
    <r>
      <rPr>
        <sz val="9"/>
        <rFont val="宋体"/>
        <family val="0"/>
        <charset val="1"/>
      </rPr>
      <t xml:space="preserve">2.</t>
    </r>
    <r>
      <rPr>
        <sz val="9"/>
        <rFont val="WenQuanYi Zen Hei"/>
        <family val="2"/>
      </rPr>
      <t xml:space="preserve">供电电源：</t>
    </r>
    <r>
      <rPr>
        <sz val="9"/>
        <rFont val="宋体"/>
        <family val="0"/>
        <charset val="1"/>
      </rPr>
      <t xml:space="preserve">24VDC
</t>
    </r>
    <r>
      <rPr>
        <sz val="9"/>
        <color rgb="FF1F4E79"/>
        <rFont val="Arial"/>
        <family val="0"/>
        <charset val="1"/>
      </rPr>
      <t xml:space="preserve">2. Nguồn cấp điện: 24VDC
</t>
    </r>
    <r>
      <rPr>
        <sz val="9"/>
        <rFont val="宋体"/>
        <family val="0"/>
        <charset val="1"/>
      </rPr>
      <t xml:space="preserve">3.</t>
    </r>
    <r>
      <rPr>
        <sz val="9"/>
        <rFont val="WenQuanYi Zen Hei"/>
        <family val="2"/>
      </rPr>
      <t xml:space="preserve">信号输出：</t>
    </r>
    <r>
      <rPr>
        <sz val="9"/>
        <rFont val="宋体"/>
        <family val="0"/>
        <charset val="1"/>
      </rPr>
      <t xml:space="preserve">4-20mA</t>
    </r>
    <r>
      <rPr>
        <sz val="9"/>
        <rFont val="WenQuanYi Zen Hei"/>
        <family val="2"/>
      </rPr>
      <t xml:space="preserve">，</t>
    </r>
    <r>
      <rPr>
        <sz val="9"/>
        <rFont val="宋体"/>
        <family val="0"/>
        <charset val="1"/>
      </rPr>
      <t xml:space="preserve">RS485</t>
    </r>
    <r>
      <rPr>
        <sz val="9"/>
        <rFont val="WenQuanYi Zen Hei"/>
        <family val="2"/>
      </rPr>
      <t xml:space="preserve">通讯
</t>
    </r>
    <r>
      <rPr>
        <sz val="9"/>
        <color rgb="FF1F4E79"/>
        <rFont val="Arial"/>
        <family val="0"/>
        <charset val="1"/>
      </rPr>
      <t xml:space="preserve">3. Tín hiệu đầu ra: 4-20mA, truyền thông RS485
</t>
    </r>
    <r>
      <rPr>
        <sz val="9"/>
        <rFont val="宋体"/>
        <family val="0"/>
        <charset val="1"/>
      </rPr>
      <t xml:space="preserve">4.</t>
    </r>
    <r>
      <rPr>
        <sz val="9"/>
        <rFont val="WenQuanYi Zen Hei"/>
        <family val="2"/>
      </rPr>
      <t xml:space="preserve">精度：</t>
    </r>
    <r>
      <rPr>
        <sz val="9"/>
        <rFont val="宋体"/>
        <family val="0"/>
        <charset val="1"/>
      </rPr>
      <t xml:space="preserve">0.5%
</t>
    </r>
    <r>
      <rPr>
        <sz val="9"/>
        <color rgb="FF1F4E79"/>
        <rFont val="Arial"/>
        <family val="0"/>
        <charset val="1"/>
      </rPr>
      <t xml:space="preserve">4. Độ chính xác: 0.5%
</t>
    </r>
    <r>
      <rPr>
        <sz val="9"/>
        <rFont val="宋体"/>
        <family val="0"/>
        <charset val="1"/>
      </rPr>
      <t xml:space="preserve">5.</t>
    </r>
    <r>
      <rPr>
        <sz val="9"/>
        <rFont val="WenQuanYi Zen Hei"/>
        <family val="2"/>
      </rPr>
      <t xml:space="preserve">配冷热量积算功能，精度：</t>
    </r>
    <r>
      <rPr>
        <sz val="9"/>
        <rFont val="宋体"/>
        <family val="0"/>
        <charset val="1"/>
      </rPr>
      <t xml:space="preserve">0.1℃L=6*200mm</t>
    </r>
    <r>
      <rPr>
        <sz val="9"/>
        <rFont val="WenQuanYi Zen Hei"/>
        <family val="2"/>
      </rPr>
      <t xml:space="preserve">（不含螺纹</t>
    </r>
    <r>
      <rPr>
        <sz val="9"/>
        <rFont val="宋体"/>
        <family val="0"/>
        <charset val="1"/>
      </rPr>
      <t xml:space="preserve">M20*1.5</t>
    </r>
    <r>
      <rPr>
        <sz val="9"/>
        <rFont val="WenQuanYi Zen Hei"/>
        <family val="2"/>
      </rPr>
      <t xml:space="preserve">），温度 </t>
    </r>
    <r>
      <rPr>
        <sz val="9"/>
        <rFont val="宋体"/>
        <family val="0"/>
        <charset val="1"/>
      </rPr>
      <t xml:space="preserve">0-100 </t>
    </r>
    <r>
      <rPr>
        <sz val="9"/>
        <rFont val="WenQuanYi Zen Hei"/>
        <family val="2"/>
      </rPr>
      <t xml:space="preserve">度，带螺纹底座
</t>
    </r>
    <r>
      <rPr>
        <sz val="9"/>
        <color rgb="FF1F4E79"/>
        <rFont val="Arial"/>
        <family val="0"/>
        <charset val="1"/>
      </rPr>
      <t xml:space="preserve">5. Kèm chức năng tích lũy nhiệt lượng lạnh/nóng, độ chính xác: 0.1℃ L=6*200mm (không bao gồm ren M20*1.5), nhiệt độ 0-100 độ, kèm đế ren</t>
    </r>
  </si>
  <si>
    <r>
      <rPr>
        <sz val="9"/>
        <rFont val="WenQuanYi Zen Hei"/>
        <family val="2"/>
      </rPr>
      <t xml:space="preserve">风机盘管液晶温控面板
</t>
    </r>
    <r>
      <rPr>
        <sz val="9"/>
        <color rgb="FF1F4E79"/>
        <rFont val="Arial"/>
        <family val="0"/>
        <charset val="1"/>
      </rPr>
      <t xml:space="preserve">Bảng điều khiển nhiệt độ màn hình LCD cho dàn quạt (FCU)</t>
    </r>
  </si>
  <si>
    <r>
      <rPr>
        <sz val="9"/>
        <rFont val="宋体"/>
        <family val="0"/>
        <charset val="1"/>
      </rPr>
      <t xml:space="preserve">1.</t>
    </r>
    <r>
      <rPr>
        <sz val="9"/>
        <rFont val="WenQuanYi Zen Hei"/>
        <family val="2"/>
      </rPr>
      <t xml:space="preserve">名称：液晶温控面板
</t>
    </r>
    <r>
      <rPr>
        <sz val="9"/>
        <color rgb="FF1F4E79"/>
        <rFont val="Arial"/>
        <family val="0"/>
        <charset val="1"/>
      </rPr>
      <t xml:space="preserve">1. Tên: bảng điều khiển nhiệt độ màn hình LCD
</t>
    </r>
    <r>
      <rPr>
        <sz val="9"/>
        <rFont val="宋体"/>
        <family val="0"/>
        <charset val="1"/>
      </rPr>
      <t xml:space="preserve">2.</t>
    </r>
    <r>
      <rPr>
        <sz val="9"/>
        <rFont val="WenQuanYi Zen Hei"/>
        <family val="2"/>
      </rPr>
      <t xml:space="preserve">规格：开关型
</t>
    </r>
    <r>
      <rPr>
        <sz val="9"/>
        <color rgb="FF1F4E79"/>
        <rFont val="Arial"/>
        <family val="0"/>
        <charset val="1"/>
      </rPr>
      <t xml:space="preserve">2. Quy cách: loại đóng/ngắt</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</si>
  <si>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:RVV-7*0.75
</t>
    </r>
    <r>
      <rPr>
        <sz val="9"/>
        <color rgb="FF1F4E79"/>
        <rFont val="Arial"/>
        <family val="0"/>
        <charset val="1"/>
      </rPr>
      <t xml:space="preserve">2. Quy cách: RVV-7*0.75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</si>
  <si>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:RVV-6*1.0
</t>
    </r>
    <r>
      <rPr>
        <sz val="9"/>
        <color rgb="FF1F4E79"/>
        <rFont val="Arial"/>
        <family val="0"/>
        <charset val="1"/>
      </rPr>
      <t xml:space="preserve">2. Quy cách: RVV-6*1.0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</si>
  <si>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:RVV-2*1.0
</t>
    </r>
    <r>
      <rPr>
        <sz val="9"/>
        <color rgb="FF1F4E79"/>
        <rFont val="Arial"/>
        <family val="0"/>
        <charset val="1"/>
      </rPr>
      <t xml:space="preserve">2. Quy cách: RVV-2*1.0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</si>
  <si>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:RVVP-6*1.0
</t>
    </r>
    <r>
      <rPr>
        <sz val="9"/>
        <color rgb="FF1F4E79"/>
        <rFont val="Arial"/>
        <family val="0"/>
        <charset val="1"/>
      </rPr>
      <t xml:space="preserve">2. Quy cách: RVVP-6*1.0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</si>
  <si>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:RVVP-4*1.0
</t>
    </r>
    <r>
      <rPr>
        <sz val="9"/>
        <color rgb="FF1F4E79"/>
        <rFont val="Arial"/>
        <family val="0"/>
        <charset val="1"/>
      </rPr>
      <t xml:space="preserve">2. Quy cách: RVVP-4*1.0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</si>
  <si>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:RVVP-2*1.0
</t>
    </r>
    <r>
      <rPr>
        <sz val="9"/>
        <color rgb="FF1F4E79"/>
        <rFont val="Arial"/>
        <family val="0"/>
        <charset val="1"/>
      </rPr>
      <t xml:space="preserve">2. Quy cách: RVVP-2*1.0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</si>
  <si>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WenQuanYi Zen Hei"/>
        <family val="2"/>
      </rPr>
      <t xml:space="preserve">通讯线缆
</t>
    </r>
    <r>
      <rPr>
        <sz val="9"/>
        <color rgb="FF1F4E79"/>
        <rFont val="Arial"/>
        <family val="0"/>
        <charset val="1"/>
      </rPr>
      <t xml:space="preserve">Cáp truyền thông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</si>
  <si>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通讯线缆
</t>
    </r>
    <r>
      <rPr>
        <sz val="9"/>
        <color rgb="FF1F4E79"/>
        <rFont val="Arial"/>
        <family val="0"/>
        <charset val="1"/>
      </rPr>
      <t xml:space="preserve">1. Tên: cáp truyền thông
</t>
    </r>
    <r>
      <rPr>
        <sz val="9"/>
        <rFont val="宋体"/>
        <family val="0"/>
        <charset val="1"/>
      </rPr>
      <t xml:space="preserve">2.</t>
    </r>
    <r>
      <rPr>
        <sz val="9"/>
        <rFont val="WenQuanYi Zen Hei"/>
        <family val="2"/>
      </rPr>
      <t xml:space="preserve">规格</t>
    </r>
    <r>
      <rPr>
        <sz val="9"/>
        <rFont val="宋体"/>
        <family val="0"/>
        <charset val="1"/>
      </rPr>
      <t xml:space="preserve">:RVSP-2*1.0
</t>
    </r>
    <r>
      <rPr>
        <sz val="9"/>
        <color rgb="FF1F4E79"/>
        <rFont val="Arial"/>
        <family val="0"/>
        <charset val="1"/>
      </rPr>
      <t xml:space="preserve">2. Quy cách: RVSP-2*1.0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</si>
  <si>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WenQuanYi Zen Hei"/>
        <family val="2"/>
      </rPr>
      <t xml:space="preserve">光纤
</t>
    </r>
    <r>
      <rPr>
        <sz val="9"/>
        <color rgb="FF1F4E79"/>
        <rFont val="Arial"/>
        <family val="0"/>
        <charset val="1"/>
      </rPr>
      <t xml:space="preserve">Cáp quang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</si>
  <si>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光纤
</t>
    </r>
    <r>
      <rPr>
        <sz val="9"/>
        <color rgb="FF1F4E79"/>
        <rFont val="Arial"/>
        <family val="0"/>
        <charset val="1"/>
      </rPr>
      <t xml:space="preserve">1. Tên: cáp quang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单模二芯铠装光纤
</t>
    </r>
    <r>
      <rPr>
        <sz val="9"/>
        <color rgb="FF1F4E79"/>
        <rFont val="Arial"/>
        <family val="0"/>
        <charset val="1"/>
      </rPr>
      <t xml:space="preserve">2. Quy cách: cáp quang đơn mode 2 lõi bọc giáp</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</si>
  <si>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镀锌线槽
</t>
    </r>
    <r>
      <rPr>
        <sz val="9"/>
        <color rgb="FF1F4E79"/>
        <rFont val="Arial"/>
        <family val="0"/>
        <charset val="1"/>
      </rPr>
      <t xml:space="preserve">1. Tên: máng cáp mạ kẽm
</t>
    </r>
    <r>
      <rPr>
        <sz val="9"/>
        <rFont val="宋体"/>
        <family val="0"/>
        <charset val="1"/>
      </rPr>
      <t xml:space="preserve">2.</t>
    </r>
    <r>
      <rPr>
        <sz val="9"/>
        <rFont val="WenQuanYi Zen Hei"/>
        <family val="2"/>
      </rPr>
      <t xml:space="preserve">规格：</t>
    </r>
    <r>
      <rPr>
        <sz val="9"/>
        <rFont val="宋体"/>
        <family val="0"/>
        <charset val="1"/>
      </rPr>
      <t xml:space="preserve">100*100*1.0mm
</t>
    </r>
    <r>
      <rPr>
        <sz val="9"/>
        <color rgb="FF1F4E79"/>
        <rFont val="Arial"/>
        <family val="0"/>
        <charset val="1"/>
      </rPr>
      <t xml:space="preserve">2. Quy cách: 100*100*1.0mm
</t>
    </r>
    <r>
      <rPr>
        <sz val="9"/>
        <rFont val="宋体"/>
        <family val="0"/>
        <charset val="1"/>
      </rPr>
      <t xml:space="preserve">3.</t>
    </r>
    <r>
      <rPr>
        <sz val="9"/>
        <rFont val="WenQuanYi Zen Hei"/>
        <family val="2"/>
      </rPr>
      <t xml:space="preserve">材质：镀锌钢板
</t>
    </r>
    <r>
      <rPr>
        <sz val="9"/>
        <color rgb="FF1F4E79"/>
        <rFont val="Arial"/>
        <family val="0"/>
        <charset val="1"/>
      </rPr>
      <t xml:space="preserve">3. Vật liệu: thép tấm mạ kẽm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</si>
  <si>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宋体"/>
        <family val="0"/>
        <charset val="1"/>
      </rPr>
      <t xml:space="preserve">1.</t>
    </r>
    <r>
      <rPr>
        <sz val="9"/>
        <rFont val="WenQuanYi Zen Hei"/>
        <family val="2"/>
      </rPr>
      <t xml:space="preserve">名称</t>
    </r>
    <r>
      <rPr>
        <sz val="9"/>
        <rFont val="宋体"/>
        <family val="0"/>
        <charset val="1"/>
      </rPr>
      <t xml:space="preserve">:PVC</t>
    </r>
    <r>
      <rPr>
        <sz val="9"/>
        <rFont val="WenQuanYi Zen Hei"/>
        <family val="2"/>
      </rPr>
      <t xml:space="preserve">线管
</t>
    </r>
    <r>
      <rPr>
        <sz val="9"/>
        <color rgb="FF1F4E79"/>
        <rFont val="Arial"/>
        <family val="0"/>
        <charset val="1"/>
      </rPr>
      <t xml:space="preserve">1. Tên: ống luồn dây PVC
</t>
    </r>
    <r>
      <rPr>
        <sz val="9"/>
        <rFont val="宋体"/>
        <family val="0"/>
        <charset val="1"/>
      </rPr>
      <t xml:space="preserve">2.</t>
    </r>
    <r>
      <rPr>
        <sz val="9"/>
        <rFont val="WenQuanYi Zen Hei"/>
        <family val="2"/>
      </rPr>
      <t xml:space="preserve">规格：</t>
    </r>
    <r>
      <rPr>
        <sz val="9"/>
        <rFont val="宋体"/>
        <family val="0"/>
        <charset val="1"/>
      </rPr>
      <t xml:space="preserve">Φ20
</t>
    </r>
    <r>
      <rPr>
        <sz val="9"/>
        <color rgb="FF1F4E79"/>
        <rFont val="Arial"/>
        <family val="0"/>
        <charset val="1"/>
      </rPr>
      <t xml:space="preserve">2. Quy cách: Φ20
</t>
    </r>
    <r>
      <rPr>
        <sz val="9"/>
        <rFont val="宋体"/>
        <family val="0"/>
        <charset val="1"/>
      </rPr>
      <t xml:space="preserve">3.</t>
    </r>
    <r>
      <rPr>
        <sz val="9"/>
        <rFont val="WenQuanYi Zen Hei"/>
        <family val="2"/>
      </rPr>
      <t xml:space="preserve">材质：</t>
    </r>
    <r>
      <rPr>
        <sz val="9"/>
        <rFont val="宋体"/>
        <family val="0"/>
        <charset val="1"/>
      </rPr>
      <t xml:space="preserve">U-PVC</t>
    </r>
    <r>
      <rPr>
        <sz val="9"/>
        <rFont val="WenQuanYi Zen Hei"/>
        <family val="2"/>
      </rPr>
      <t xml:space="preserve">硬管
</t>
    </r>
    <r>
      <rPr>
        <sz val="9"/>
        <color rgb="FF1F4E79"/>
        <rFont val="Arial"/>
        <family val="0"/>
        <charset val="1"/>
      </rPr>
      <t xml:space="preserve">3. Vật liệu: ống cứng U-PVC
</t>
    </r>
    <r>
      <rPr>
        <sz val="9"/>
        <rFont val="宋体"/>
        <family val="0"/>
        <charset val="1"/>
      </rPr>
      <t xml:space="preserve">4.</t>
    </r>
    <r>
      <rPr>
        <sz val="9"/>
        <rFont val="WenQuanYi Zen Hei"/>
        <family val="2"/>
      </rPr>
      <t xml:space="preserve">含配件
</t>
    </r>
    <r>
      <rPr>
        <sz val="9"/>
        <color rgb="FF1F4E79"/>
        <rFont val="Arial"/>
        <family val="0"/>
        <charset val="1"/>
      </rPr>
      <t xml:space="preserve">4. Bao gồm phụ kiện</t>
    </r>
  </si>
  <si>
    <r>
      <rPr>
        <sz val="9"/>
        <rFont val="WenQuanYi Zen Hei"/>
        <family val="2"/>
      </rPr>
      <t xml:space="preserve">线槽支吊架
</t>
    </r>
    <r>
      <rPr>
        <sz val="9"/>
        <color rgb="FF1F4E79"/>
        <rFont val="Arial"/>
        <family val="0"/>
        <charset val="1"/>
      </rPr>
      <t xml:space="preserve">Giá treo đỡ máng cáp</t>
    </r>
  </si>
  <si>
    <r>
      <rPr>
        <b val="true"/>
        <sz val="9"/>
        <rFont val="WenQuanYi Zen Hei"/>
        <family val="2"/>
      </rPr>
      <t xml:space="preserve">合计：
</t>
    </r>
    <r>
      <rPr>
        <b val="true"/>
        <sz val="9"/>
        <color rgb="FF1F4E79"/>
        <rFont val="Arial"/>
        <family val="0"/>
        <charset val="1"/>
      </rPr>
      <t xml:space="preserve">Tổng cộng:</t>
    </r>
  </si>
  <si>
    <r>
      <rPr>
        <b val="true"/>
        <sz val="9"/>
        <rFont val="WenQuanYi Zen Hei"/>
        <family val="2"/>
      </rPr>
      <t xml:space="preserve">工程名称：</t>
    </r>
    <r>
      <rPr>
        <b val="true"/>
        <sz val="9"/>
        <rFont val="宋体"/>
        <family val="0"/>
        <charset val="1"/>
      </rPr>
      <t xml:space="preserve">BP2</t>
    </r>
    <r>
      <rPr>
        <b val="true"/>
        <sz val="9"/>
        <rFont val="WenQuanYi Zen Hei"/>
        <family val="2"/>
      </rPr>
      <t xml:space="preserve">空调末端系统工程
</t>
    </r>
    <r>
      <rPr>
        <b val="true"/>
        <sz val="9"/>
        <color rgb="FF1F4E79"/>
        <rFont val="Arial"/>
        <family val="0"/>
        <charset val="1"/>
      </rPr>
      <t xml:space="preserve">Tên công trình: Công trình hệ thống thiết bị đầu cuối điều hòa BP2</t>
    </r>
  </si>
  <si>
    <r>
      <rPr>
        <b val="true"/>
        <sz val="9"/>
        <rFont val="WenQuanYi Zen Hei"/>
        <family val="2"/>
      </rPr>
      <t xml:space="preserve">空调设备安装
</t>
    </r>
    <r>
      <rPr>
        <b val="true"/>
        <sz val="9"/>
        <color rgb="FF1F4E79"/>
        <rFont val="Arial"/>
        <family val="0"/>
        <charset val="1"/>
      </rPr>
      <t xml:space="preserve">Lắp đặt thiết bị điều hòa</t>
    </r>
  </si>
  <si>
    <r>
      <rPr>
        <sz val="9"/>
        <rFont val="WenQuanYi Zen Hei"/>
        <family val="2"/>
      </rPr>
      <t xml:space="preserve">吊顶式恒温恒湿空气处理机组
</t>
    </r>
    <r>
      <rPr>
        <sz val="9"/>
        <color rgb="FF1F4E79"/>
        <rFont val="Arial"/>
        <family val="0"/>
        <charset val="1"/>
      </rPr>
      <t xml:space="preserve">Cụm xử lý không khí (AHU) nhiệt độ ổn định, độ ẩm ổn định kiểu treo trần
</t>
    </r>
    <r>
      <rPr>
        <sz val="9"/>
        <rFont val="宋体"/>
        <family val="0"/>
        <charset val="1"/>
      </rPr>
      <t xml:space="preserve">AHU-300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</si>
  <si>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吊顶式恒温恒湿空气处理机组
</t>
    </r>
    <r>
      <rPr>
        <sz val="9"/>
        <color rgb="FF1F4E79"/>
        <rFont val="Arial"/>
        <family val="0"/>
        <charset val="1"/>
      </rPr>
      <t xml:space="preserve">1. Tên: cụm xử lý không khí (AHU) nhiệt độ ổn định, độ ẩm ổn định kiểu treo trần
</t>
    </r>
    <r>
      <rPr>
        <sz val="9"/>
        <rFont val="宋体"/>
        <family val="0"/>
        <charset val="1"/>
      </rPr>
      <t xml:space="preserve">2.</t>
    </r>
    <r>
      <rPr>
        <sz val="9"/>
        <rFont val="WenQuanYi Zen Hei"/>
        <family val="2"/>
      </rPr>
      <t xml:space="preserve">编号</t>
    </r>
    <r>
      <rPr>
        <sz val="9"/>
        <rFont val="宋体"/>
        <family val="0"/>
        <charset val="1"/>
      </rPr>
      <t xml:space="preserve">:AHU-300
</t>
    </r>
    <r>
      <rPr>
        <sz val="9"/>
        <color rgb="FF1F4E79"/>
        <rFont val="Arial"/>
        <family val="0"/>
        <charset val="1"/>
      </rPr>
      <t xml:space="preserve">2. Mã hiệu: AHU-300
</t>
    </r>
    <r>
      <rPr>
        <sz val="9"/>
        <rFont val="WenQuanYi Zen Hei"/>
        <family val="2"/>
      </rPr>
      <t xml:space="preserve">送风量</t>
    </r>
    <r>
      <rPr>
        <sz val="9"/>
        <rFont val="宋体"/>
        <family val="0"/>
        <charset val="1"/>
      </rPr>
      <t xml:space="preserve">30000m3/h</t>
    </r>
    <r>
      <rPr>
        <sz val="9"/>
        <rFont val="WenQuanYi Zen Hei"/>
        <family val="2"/>
      </rPr>
      <t xml:space="preserve">，新风量</t>
    </r>
    <r>
      <rPr>
        <sz val="9"/>
        <rFont val="宋体"/>
        <family val="0"/>
        <charset val="1"/>
      </rPr>
      <t xml:space="preserve">3000m3/h</t>
    </r>
    <r>
      <rPr>
        <sz val="9"/>
        <rFont val="WenQuanYi Zen Hei"/>
        <family val="2"/>
      </rPr>
      <t xml:space="preserve">，回风量</t>
    </r>
    <r>
      <rPr>
        <sz val="9"/>
        <rFont val="宋体"/>
        <family val="0"/>
        <charset val="1"/>
      </rPr>
      <t xml:space="preserve">27000m3/h</t>
    </r>
    <r>
      <rPr>
        <sz val="9"/>
        <rFont val="WenQuanYi Zen Hei"/>
        <family val="2"/>
      </rPr>
      <t xml:space="preserve">，制冷量</t>
    </r>
    <r>
      <rPr>
        <sz val="9"/>
        <rFont val="宋体"/>
        <family val="0"/>
        <charset val="1"/>
      </rPr>
      <t xml:space="preserve">188kW</t>
    </r>
    <r>
      <rPr>
        <sz val="9"/>
        <rFont val="WenQuanYi Zen Hei"/>
        <family val="2"/>
      </rPr>
      <t xml:space="preserve">，蒸汽加热量</t>
    </r>
    <r>
      <rPr>
        <sz val="9"/>
        <rFont val="宋体"/>
        <family val="0"/>
        <charset val="1"/>
      </rPr>
      <t xml:space="preserve">90kW</t>
    </r>
    <r>
      <rPr>
        <sz val="9"/>
        <rFont val="WenQuanYi Zen Hei"/>
        <family val="2"/>
      </rPr>
      <t xml:space="preserve">，蒸汽加湿量</t>
    </r>
    <r>
      <rPr>
        <sz val="9"/>
        <rFont val="宋体"/>
        <family val="0"/>
        <charset val="1"/>
      </rPr>
      <t xml:space="preserve">45kg/h</t>
    </r>
    <r>
      <rPr>
        <sz val="9"/>
        <rFont val="WenQuanYi Zen Hei"/>
        <family val="2"/>
      </rPr>
      <t xml:space="preserve">，机外静压</t>
    </r>
    <r>
      <rPr>
        <sz val="9"/>
        <rFont val="宋体"/>
        <family val="0"/>
        <charset val="1"/>
      </rPr>
      <t xml:space="preserve">500Pa</t>
    </r>
    <r>
      <rPr>
        <sz val="9"/>
        <rFont val="WenQuanYi Zen Hei"/>
        <family val="2"/>
      </rPr>
      <t xml:space="preserve">，电机功率</t>
    </r>
    <r>
      <rPr>
        <sz val="9"/>
        <rFont val="宋体"/>
        <family val="0"/>
        <charset val="1"/>
      </rPr>
      <t xml:space="preserve">15kW</t>
    </r>
    <r>
      <rPr>
        <sz val="9"/>
        <rFont val="WenQuanYi Zen Hei"/>
        <family val="2"/>
      </rPr>
      <t xml:space="preserve">，变频电机，输入电压</t>
    </r>
    <r>
      <rPr>
        <sz val="9"/>
        <rFont val="宋体"/>
        <family val="0"/>
        <charset val="1"/>
      </rPr>
      <t xml:space="preserve">380V/50Hz</t>
    </r>
    <r>
      <rPr>
        <sz val="9"/>
        <rFont val="WenQuanYi Zen Hei"/>
        <family val="2"/>
      </rPr>
      <t xml:space="preserve">，重量约</t>
    </r>
    <r>
      <rPr>
        <sz val="9"/>
        <rFont val="宋体"/>
        <family val="0"/>
        <charset val="1"/>
      </rPr>
      <t xml:space="preserve">1342kg
</t>
    </r>
    <r>
      <rPr>
        <sz val="9"/>
        <color rgb="FF1F4E79"/>
        <rFont val="Arial"/>
        <family val="0"/>
        <charset val="1"/>
      </rPr>
      <t xml:space="preserve">Lưu lượng gió cấp 30000m3/h, lưu lượng gió tươi 3000m3/h, lưu lượng gió hồi 27000m3/h, công suất lạnh 188kW, công suất gia nhiệt bằng hơi nước 90kW, lượng gia ẩm bằng hơi nước 45kg/h, áp suất tĩnh ngoài máy 500Pa, công suất động cơ 15kW, động cơ biến tần, điện áp đầu vào 380V/50Hz, trọng lượng khoảng 1342kg
</t>
    </r>
    <r>
      <rPr>
        <sz val="9"/>
        <rFont val="宋体"/>
        <family val="0"/>
        <charset val="1"/>
      </rPr>
      <t xml:space="preserve">3.</t>
    </r>
    <r>
      <rPr>
        <sz val="9"/>
        <rFont val="WenQuanYi Zen Hei"/>
        <family val="2"/>
      </rPr>
      <t xml:space="preserve">功能段</t>
    </r>
    <r>
      <rPr>
        <sz val="9"/>
        <rFont val="宋体"/>
        <family val="0"/>
        <charset val="1"/>
      </rPr>
      <t xml:space="preserve">:</t>
    </r>
    <r>
      <rPr>
        <sz val="9"/>
        <rFont val="WenQuanYi Zen Hei"/>
        <family val="2"/>
      </rPr>
      <t xml:space="preserve">新回风混合段</t>
    </r>
    <r>
      <rPr>
        <sz val="9"/>
        <rFont val="宋体"/>
        <family val="0"/>
        <charset val="1"/>
      </rPr>
      <t xml:space="preserve">+G4</t>
    </r>
    <r>
      <rPr>
        <sz val="9"/>
        <rFont val="WenQuanYi Zen Hei"/>
        <family val="2"/>
      </rPr>
      <t xml:space="preserve">初效段</t>
    </r>
    <r>
      <rPr>
        <sz val="9"/>
        <rFont val="宋体"/>
        <family val="0"/>
        <charset val="1"/>
      </rPr>
      <t xml:space="preserve">+F7</t>
    </r>
    <r>
      <rPr>
        <sz val="9"/>
        <rFont val="WenQuanYi Zen Hei"/>
        <family val="2"/>
      </rPr>
      <t xml:space="preserve">中效段</t>
    </r>
    <r>
      <rPr>
        <sz val="9"/>
        <rFont val="宋体"/>
        <family val="0"/>
        <charset val="1"/>
      </rPr>
      <t xml:space="preserve">+</t>
    </r>
    <r>
      <rPr>
        <sz val="9"/>
        <rFont val="WenQuanYi Zen Hei"/>
        <family val="2"/>
      </rPr>
      <t xml:space="preserve">表冷段</t>
    </r>
    <r>
      <rPr>
        <sz val="9"/>
        <rFont val="宋体"/>
        <family val="0"/>
        <charset val="1"/>
      </rPr>
      <t xml:space="preserve">+</t>
    </r>
    <r>
      <rPr>
        <sz val="9"/>
        <rFont val="WenQuanYi Zen Hei"/>
        <family val="2"/>
      </rPr>
      <t xml:space="preserve">加热段</t>
    </r>
    <r>
      <rPr>
        <sz val="9"/>
        <rFont val="宋体"/>
        <family val="0"/>
        <charset val="1"/>
      </rPr>
      <t xml:space="preserve">+</t>
    </r>
    <r>
      <rPr>
        <sz val="9"/>
        <rFont val="WenQuanYi Zen Hei"/>
        <family val="2"/>
      </rPr>
      <t xml:space="preserve">加湿段</t>
    </r>
    <r>
      <rPr>
        <sz val="9"/>
        <rFont val="宋体"/>
        <family val="0"/>
        <charset val="1"/>
      </rPr>
      <t xml:space="preserve">+</t>
    </r>
    <r>
      <rPr>
        <sz val="9"/>
        <rFont val="WenQuanYi Zen Hei"/>
        <family val="2"/>
      </rPr>
      <t xml:space="preserve">风机送风段
</t>
    </r>
    <r>
      <rPr>
        <sz val="9"/>
        <color rgb="FF1F4E79"/>
        <rFont val="Arial"/>
        <family val="0"/>
        <charset val="1"/>
      </rPr>
      <t xml:space="preserve">3. Các khoang chức năng: khoang hòa trộn gió tươi/gió hồi + khoang lọc sơ cấp G4 + khoang lọc trung cấp F7 + khoang dàn lạnh bề mặt + khoang gia nhiệt + khoang gia ẩm + khoang quạt cấp gió
</t>
    </r>
    <r>
      <rPr>
        <sz val="9"/>
        <rFont val="宋体"/>
        <family val="0"/>
        <charset val="1"/>
      </rPr>
      <t xml:space="preserve">4.</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4. Hình thức lắp đặt: treo trần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</si>
  <si>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吊顶式恒温恒湿空气处理机组
</t>
    </r>
    <r>
      <rPr>
        <sz val="9"/>
        <color rgb="FF1F4E79"/>
        <rFont val="Arial"/>
        <family val="0"/>
        <charset val="1"/>
      </rPr>
      <t xml:space="preserve">Cụm xử lý không khí (AHU) nhiệt độ ổn định, độ ẩm ổn định kiểu treo trần
</t>
    </r>
    <r>
      <rPr>
        <sz val="9"/>
        <rFont val="宋体"/>
        <family val="0"/>
        <charset val="1"/>
      </rPr>
      <t xml:space="preserve">AHU-150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</si>
  <si>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吊顶式恒温恒湿空气处理机组
</t>
    </r>
    <r>
      <rPr>
        <sz val="9"/>
        <color rgb="FF1F4E79"/>
        <rFont val="Arial"/>
        <family val="0"/>
        <charset val="1"/>
      </rPr>
      <t xml:space="preserve">1. Tên: cụm xử lý không khí (AHU) nhiệt độ ổn định, độ ẩm ổn định kiểu treo trần
</t>
    </r>
    <r>
      <rPr>
        <sz val="9"/>
        <rFont val="宋体"/>
        <family val="0"/>
        <charset val="1"/>
      </rPr>
      <t xml:space="preserve">2.</t>
    </r>
    <r>
      <rPr>
        <sz val="9"/>
        <rFont val="WenQuanYi Zen Hei"/>
        <family val="2"/>
      </rPr>
      <t xml:space="preserve">编号</t>
    </r>
    <r>
      <rPr>
        <sz val="9"/>
        <rFont val="宋体"/>
        <family val="0"/>
        <charset val="1"/>
      </rPr>
      <t xml:space="preserve">:AHU-150
</t>
    </r>
    <r>
      <rPr>
        <sz val="9"/>
        <color rgb="FF1F4E79"/>
        <rFont val="Arial"/>
        <family val="0"/>
        <charset val="1"/>
      </rPr>
      <t xml:space="preserve">2. Mã hiệu: AHU-150
</t>
    </r>
    <r>
      <rPr>
        <sz val="9"/>
        <rFont val="WenQuanYi Zen Hei"/>
        <family val="2"/>
      </rPr>
      <t xml:space="preserve">回风工况，风量</t>
    </r>
    <r>
      <rPr>
        <sz val="9"/>
        <rFont val="宋体"/>
        <family val="0"/>
        <charset val="1"/>
      </rPr>
      <t xml:space="preserve">15000m3/h</t>
    </r>
    <r>
      <rPr>
        <sz val="9"/>
        <rFont val="WenQuanYi Zen Hei"/>
        <family val="2"/>
      </rPr>
      <t xml:space="preserve">，制冷量</t>
    </r>
    <r>
      <rPr>
        <sz val="9"/>
        <rFont val="宋体"/>
        <family val="0"/>
        <charset val="1"/>
      </rPr>
      <t xml:space="preserve">115kW</t>
    </r>
    <r>
      <rPr>
        <sz val="9"/>
        <rFont val="WenQuanYi Zen Hei"/>
        <family val="2"/>
      </rPr>
      <t xml:space="preserve">，蒸汽加热量</t>
    </r>
    <r>
      <rPr>
        <sz val="9"/>
        <rFont val="宋体"/>
        <family val="0"/>
        <charset val="1"/>
      </rPr>
      <t xml:space="preserve">60kW</t>
    </r>
    <r>
      <rPr>
        <sz val="9"/>
        <rFont val="WenQuanYi Zen Hei"/>
        <family val="2"/>
      </rPr>
      <t xml:space="preserve">，蒸汽加湿量</t>
    </r>
    <r>
      <rPr>
        <sz val="9"/>
        <rFont val="宋体"/>
        <family val="0"/>
        <charset val="1"/>
      </rPr>
      <t xml:space="preserve">22kg/h</t>
    </r>
    <r>
      <rPr>
        <sz val="9"/>
        <rFont val="WenQuanYi Zen Hei"/>
        <family val="2"/>
      </rPr>
      <t xml:space="preserve">，机外静压</t>
    </r>
    <r>
      <rPr>
        <sz val="9"/>
        <rFont val="宋体"/>
        <family val="0"/>
        <charset val="1"/>
      </rPr>
      <t xml:space="preserve">240Pa</t>
    </r>
    <r>
      <rPr>
        <sz val="9"/>
        <rFont val="WenQuanYi Zen Hei"/>
        <family val="2"/>
      </rPr>
      <t xml:space="preserve">，电机功率</t>
    </r>
    <r>
      <rPr>
        <sz val="9"/>
        <rFont val="宋体"/>
        <family val="0"/>
        <charset val="1"/>
      </rPr>
      <t xml:space="preserve">5.5kW</t>
    </r>
    <r>
      <rPr>
        <sz val="9"/>
        <rFont val="WenQuanYi Zen Hei"/>
        <family val="2"/>
      </rPr>
      <t xml:space="preserve">，输入电压</t>
    </r>
    <r>
      <rPr>
        <sz val="9"/>
        <rFont val="宋体"/>
        <family val="0"/>
        <charset val="1"/>
      </rPr>
      <t xml:space="preserve">380V/50Hz</t>
    </r>
    <r>
      <rPr>
        <sz val="9"/>
        <rFont val="WenQuanYi Zen Hei"/>
        <family val="2"/>
      </rPr>
      <t xml:space="preserve">，重量约</t>
    </r>
    <r>
      <rPr>
        <sz val="9"/>
        <rFont val="宋体"/>
        <family val="0"/>
        <charset val="1"/>
      </rPr>
      <t xml:space="preserve">627kg
</t>
    </r>
    <r>
      <rPr>
        <sz val="9"/>
        <color rgb="FF1F4E79"/>
        <rFont val="Arial"/>
        <family val="0"/>
        <charset val="1"/>
      </rPr>
      <t xml:space="preserve">Điều kiện gió hồi, lưu lượng gió 15000m3/h, công suất lạnh 115kW, công suất gia nhiệt bằng hơi nước 60kW, lượng gia ẩm bằng hơi nước 22kg/h, áp suất tĩnh ngoài máy 240Pa, công suất động cơ 5.5kW, điện áp đầu vào 380V/50Hz, trọng lượng khoảng 627kg
</t>
    </r>
    <r>
      <rPr>
        <sz val="9"/>
        <rFont val="宋体"/>
        <family val="0"/>
        <charset val="1"/>
      </rPr>
      <t xml:space="preserve">3.</t>
    </r>
    <r>
      <rPr>
        <sz val="9"/>
        <rFont val="WenQuanYi Zen Hei"/>
        <family val="2"/>
      </rPr>
      <t xml:space="preserve">功能段</t>
    </r>
    <r>
      <rPr>
        <sz val="9"/>
        <rFont val="宋体"/>
        <family val="0"/>
        <charset val="1"/>
      </rPr>
      <t xml:space="preserve">:G4</t>
    </r>
    <r>
      <rPr>
        <sz val="9"/>
        <rFont val="WenQuanYi Zen Hei"/>
        <family val="2"/>
      </rPr>
      <t xml:space="preserve">初效段</t>
    </r>
    <r>
      <rPr>
        <sz val="9"/>
        <rFont val="宋体"/>
        <family val="0"/>
        <charset val="1"/>
      </rPr>
      <t xml:space="preserve">+</t>
    </r>
    <r>
      <rPr>
        <sz val="9"/>
        <rFont val="WenQuanYi Zen Hei"/>
        <family val="2"/>
      </rPr>
      <t xml:space="preserve">表冷段</t>
    </r>
    <r>
      <rPr>
        <sz val="9"/>
        <rFont val="宋体"/>
        <family val="0"/>
        <charset val="1"/>
      </rPr>
      <t xml:space="preserve">+</t>
    </r>
    <r>
      <rPr>
        <sz val="9"/>
        <rFont val="WenQuanYi Zen Hei"/>
        <family val="2"/>
      </rPr>
      <t xml:space="preserve">加热段</t>
    </r>
    <r>
      <rPr>
        <sz val="9"/>
        <rFont val="宋体"/>
        <family val="0"/>
        <charset val="1"/>
      </rPr>
      <t xml:space="preserve">+</t>
    </r>
    <r>
      <rPr>
        <sz val="9"/>
        <rFont val="WenQuanYi Zen Hei"/>
        <family val="2"/>
      </rPr>
      <t xml:space="preserve">加湿段</t>
    </r>
    <r>
      <rPr>
        <sz val="9"/>
        <rFont val="宋体"/>
        <family val="0"/>
        <charset val="1"/>
      </rPr>
      <t xml:space="preserve">+</t>
    </r>
    <r>
      <rPr>
        <sz val="9"/>
        <rFont val="WenQuanYi Zen Hei"/>
        <family val="2"/>
      </rPr>
      <t xml:space="preserve">风机送风段
</t>
    </r>
    <r>
      <rPr>
        <sz val="9"/>
        <color rgb="FF1F4E79"/>
        <rFont val="Arial"/>
        <family val="0"/>
        <charset val="1"/>
      </rPr>
      <t xml:space="preserve">3. Các khoang chức năng: khoang lọc sơ cấp G4 + khoang dàn lạnh bề mặt + khoang gia nhiệt + khoang gia ẩm + khoang quạt cấp gió
</t>
    </r>
    <r>
      <rPr>
        <sz val="9"/>
        <rFont val="宋体"/>
        <family val="0"/>
        <charset val="1"/>
      </rPr>
      <t xml:space="preserve">4.</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4. Hình thức lắp đặt: treo trần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</si>
  <si>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吊顶式恒温恒湿空气处理机组
</t>
    </r>
    <r>
      <rPr>
        <sz val="9"/>
        <color rgb="FF1F4E79"/>
        <rFont val="Arial"/>
        <family val="0"/>
        <charset val="1"/>
      </rPr>
      <t xml:space="preserve">Cụm xử lý không khí (AHU) nhiệt độ ổn định, độ ẩm ổn định kiểu treo trần
</t>
    </r>
    <r>
      <rPr>
        <sz val="9"/>
        <rFont val="宋体"/>
        <family val="0"/>
        <charset val="1"/>
      </rPr>
      <t xml:space="preserve">MAU-150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</si>
  <si>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吊顶式恒温恒湿空气处理机组
</t>
    </r>
    <r>
      <rPr>
        <sz val="9"/>
        <color rgb="FF1F4E79"/>
        <rFont val="Arial"/>
        <family val="0"/>
        <charset val="1"/>
      </rPr>
      <t xml:space="preserve">1. Tên: cụm xử lý không khí (AHU) nhiệt độ ổn định, độ ẩm ổn định kiểu treo trần
</t>
    </r>
    <r>
      <rPr>
        <sz val="9"/>
        <rFont val="宋体"/>
        <family val="0"/>
        <charset val="1"/>
      </rPr>
      <t xml:space="preserve">2.</t>
    </r>
    <r>
      <rPr>
        <sz val="9"/>
        <rFont val="WenQuanYi Zen Hei"/>
        <family val="2"/>
      </rPr>
      <t xml:space="preserve">编号</t>
    </r>
    <r>
      <rPr>
        <sz val="9"/>
        <rFont val="宋体"/>
        <family val="0"/>
        <charset val="1"/>
      </rPr>
      <t xml:space="preserve">:MAU-150
</t>
    </r>
    <r>
      <rPr>
        <sz val="9"/>
        <color rgb="FF1F4E79"/>
        <rFont val="Arial"/>
        <family val="0"/>
        <charset val="1"/>
      </rPr>
      <t xml:space="preserve">2. Mã hiệu: MAU-150
</t>
    </r>
    <r>
      <rPr>
        <sz val="9"/>
        <rFont val="WenQuanYi Zen Hei"/>
        <family val="2"/>
      </rPr>
      <t xml:space="preserve">新风工况，风量</t>
    </r>
    <r>
      <rPr>
        <sz val="9"/>
        <rFont val="宋体"/>
        <family val="0"/>
        <charset val="1"/>
      </rPr>
      <t xml:space="preserve">15000m3/h</t>
    </r>
    <r>
      <rPr>
        <sz val="9"/>
        <rFont val="WenQuanYi Zen Hei"/>
        <family val="2"/>
      </rPr>
      <t xml:space="preserve">，制冷量</t>
    </r>
    <r>
      <rPr>
        <sz val="9"/>
        <rFont val="宋体"/>
        <family val="0"/>
        <charset val="1"/>
      </rPr>
      <t xml:space="preserve">248.5kW</t>
    </r>
    <r>
      <rPr>
        <sz val="9"/>
        <rFont val="WenQuanYi Zen Hei"/>
        <family val="2"/>
      </rPr>
      <t xml:space="preserve">，蒸汽加热量</t>
    </r>
    <r>
      <rPr>
        <sz val="9"/>
        <rFont val="宋体"/>
        <family val="0"/>
        <charset val="1"/>
      </rPr>
      <t xml:space="preserve">154kW</t>
    </r>
    <r>
      <rPr>
        <sz val="9"/>
        <rFont val="WenQuanYi Zen Hei"/>
        <family val="2"/>
      </rPr>
      <t xml:space="preserve">，蒸汽加湿量</t>
    </r>
    <r>
      <rPr>
        <sz val="9"/>
        <rFont val="宋体"/>
        <family val="0"/>
        <charset val="1"/>
      </rPr>
      <t xml:space="preserve">22kg/h</t>
    </r>
    <r>
      <rPr>
        <sz val="9"/>
        <rFont val="WenQuanYi Zen Hei"/>
        <family val="2"/>
      </rPr>
      <t xml:space="preserve">，机外静压</t>
    </r>
    <r>
      <rPr>
        <sz val="9"/>
        <rFont val="宋体"/>
        <family val="0"/>
        <charset val="1"/>
      </rPr>
      <t xml:space="preserve">240Pa</t>
    </r>
    <r>
      <rPr>
        <sz val="9"/>
        <rFont val="WenQuanYi Zen Hei"/>
        <family val="2"/>
      </rPr>
      <t xml:space="preserve">，电机功率</t>
    </r>
    <r>
      <rPr>
        <sz val="9"/>
        <rFont val="宋体"/>
        <family val="0"/>
        <charset val="1"/>
      </rPr>
      <t xml:space="preserve">5.5kW</t>
    </r>
    <r>
      <rPr>
        <sz val="9"/>
        <rFont val="WenQuanYi Zen Hei"/>
        <family val="2"/>
      </rPr>
      <t xml:space="preserve">，输入电压</t>
    </r>
    <r>
      <rPr>
        <sz val="9"/>
        <rFont val="宋体"/>
        <family val="0"/>
        <charset val="1"/>
      </rPr>
      <t xml:space="preserve">380V/50Hz</t>
    </r>
    <r>
      <rPr>
        <sz val="9"/>
        <rFont val="WenQuanYi Zen Hei"/>
        <family val="2"/>
      </rPr>
      <t xml:space="preserve">，重量约</t>
    </r>
    <r>
      <rPr>
        <sz val="9"/>
        <rFont val="宋体"/>
        <family val="0"/>
        <charset val="1"/>
      </rPr>
      <t xml:space="preserve">659kg
</t>
    </r>
    <r>
      <rPr>
        <sz val="9"/>
        <color rgb="FF1F4E79"/>
        <rFont val="Arial"/>
        <family val="0"/>
        <charset val="1"/>
      </rPr>
      <t xml:space="preserve">Điều kiện gió tươi, lưu lượng gió 15000m3/h, công suất lạnh 248.5kW, công suất gia nhiệt bằng hơi nước 154kW, lượng gia ẩm bằng hơi nước 22kg/h, áp suất tĩnh ngoài máy 240Pa, công suất động cơ 5.5kW, điện áp đầu vào 380V/50Hz, trọng lượng khoảng 659kg
</t>
    </r>
    <r>
      <rPr>
        <sz val="9"/>
        <rFont val="宋体"/>
        <family val="0"/>
        <charset val="1"/>
      </rPr>
      <t xml:space="preserve">3.</t>
    </r>
    <r>
      <rPr>
        <sz val="9"/>
        <rFont val="WenQuanYi Zen Hei"/>
        <family val="2"/>
      </rPr>
      <t xml:space="preserve">功能段</t>
    </r>
    <r>
      <rPr>
        <sz val="9"/>
        <rFont val="宋体"/>
        <family val="0"/>
        <charset val="1"/>
      </rPr>
      <t xml:space="preserve">:G4</t>
    </r>
    <r>
      <rPr>
        <sz val="9"/>
        <rFont val="WenQuanYi Zen Hei"/>
        <family val="2"/>
      </rPr>
      <t xml:space="preserve">初效段</t>
    </r>
    <r>
      <rPr>
        <sz val="9"/>
        <rFont val="宋体"/>
        <family val="0"/>
        <charset val="1"/>
      </rPr>
      <t xml:space="preserve">+</t>
    </r>
    <r>
      <rPr>
        <sz val="9"/>
        <rFont val="WenQuanYi Zen Hei"/>
        <family val="2"/>
      </rPr>
      <t xml:space="preserve">表冷段</t>
    </r>
    <r>
      <rPr>
        <sz val="9"/>
        <rFont val="宋体"/>
        <family val="0"/>
        <charset val="1"/>
      </rPr>
      <t xml:space="preserve">+</t>
    </r>
    <r>
      <rPr>
        <sz val="9"/>
        <rFont val="WenQuanYi Zen Hei"/>
        <family val="2"/>
      </rPr>
      <t xml:space="preserve">加热段</t>
    </r>
    <r>
      <rPr>
        <sz val="9"/>
        <rFont val="宋体"/>
        <family val="0"/>
        <charset val="1"/>
      </rPr>
      <t xml:space="preserve">+</t>
    </r>
    <r>
      <rPr>
        <sz val="9"/>
        <rFont val="WenQuanYi Zen Hei"/>
        <family val="2"/>
      </rPr>
      <t xml:space="preserve">加湿段</t>
    </r>
    <r>
      <rPr>
        <sz val="9"/>
        <rFont val="宋体"/>
        <family val="0"/>
        <charset val="1"/>
      </rPr>
      <t xml:space="preserve">+</t>
    </r>
    <r>
      <rPr>
        <sz val="9"/>
        <rFont val="WenQuanYi Zen Hei"/>
        <family val="2"/>
      </rPr>
      <t xml:space="preserve">风机送风段
</t>
    </r>
    <r>
      <rPr>
        <sz val="9"/>
        <color rgb="FF1F4E79"/>
        <rFont val="Arial"/>
        <family val="0"/>
        <charset val="1"/>
      </rPr>
      <t xml:space="preserve">3. Các khoang chức năng: khoang lọc sơ cấp G4 + khoang dàn lạnh bề mặt + khoang gia nhiệt + khoang gia ẩm + khoang quạt cấp gió
</t>
    </r>
    <r>
      <rPr>
        <sz val="9"/>
        <rFont val="宋体"/>
        <family val="0"/>
        <charset val="1"/>
      </rPr>
      <t xml:space="preserve">4.</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4. Hình thức lắp đặt: treo trần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</si>
  <si>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吊顶式空气处理机组
</t>
    </r>
    <r>
      <rPr>
        <sz val="9"/>
        <color rgb="FF1F4E79"/>
        <rFont val="Arial"/>
        <family val="0"/>
        <charset val="1"/>
      </rPr>
      <t xml:space="preserve">Cụm xử lý không khí kiểu treo trần
</t>
    </r>
    <r>
      <rPr>
        <sz val="9"/>
        <rFont val="宋体"/>
        <family val="0"/>
        <charset val="1"/>
      </rPr>
      <t xml:space="preserve">RCU-150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</si>
  <si>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吊顶式空气处理机组
</t>
    </r>
    <r>
      <rPr>
        <sz val="9"/>
        <color rgb="FF1F4E79"/>
        <rFont val="Arial"/>
        <family val="0"/>
        <charset val="1"/>
      </rPr>
      <t xml:space="preserve">1. Tên: cụm xử lý không khí kiểu treo trần
</t>
    </r>
    <r>
      <rPr>
        <sz val="9"/>
        <rFont val="宋体"/>
        <family val="0"/>
        <charset val="1"/>
      </rPr>
      <t xml:space="preserve">2.</t>
    </r>
    <r>
      <rPr>
        <sz val="9"/>
        <rFont val="WenQuanYi Zen Hei"/>
        <family val="2"/>
      </rPr>
      <t xml:space="preserve">编号</t>
    </r>
    <r>
      <rPr>
        <sz val="9"/>
        <rFont val="宋体"/>
        <family val="0"/>
        <charset val="1"/>
      </rPr>
      <t xml:space="preserve">:RCU-150
</t>
    </r>
    <r>
      <rPr>
        <sz val="9"/>
        <color rgb="FF1F4E79"/>
        <rFont val="Arial"/>
        <family val="0"/>
        <charset val="1"/>
      </rPr>
      <t xml:space="preserve">2. Mã hiệu: RCU-150
</t>
    </r>
    <r>
      <rPr>
        <sz val="9"/>
        <rFont val="WenQuanYi Zen Hei"/>
        <family val="2"/>
      </rPr>
      <t xml:space="preserve">回风工况，风量</t>
    </r>
    <r>
      <rPr>
        <sz val="9"/>
        <rFont val="宋体"/>
        <family val="0"/>
        <charset val="1"/>
      </rPr>
      <t xml:space="preserve">15000m3/h</t>
    </r>
    <r>
      <rPr>
        <sz val="9"/>
        <rFont val="WenQuanYi Zen Hei"/>
        <family val="2"/>
      </rPr>
      <t xml:space="preserve">，制冷量</t>
    </r>
    <r>
      <rPr>
        <sz val="9"/>
        <rFont val="宋体"/>
        <family val="0"/>
        <charset val="1"/>
      </rPr>
      <t xml:space="preserve">115kW</t>
    </r>
    <r>
      <rPr>
        <sz val="9"/>
        <rFont val="WenQuanYi Zen Hei"/>
        <family val="2"/>
      </rPr>
      <t xml:space="preserve">，机外静压</t>
    </r>
    <r>
      <rPr>
        <sz val="9"/>
        <rFont val="宋体"/>
        <family val="0"/>
        <charset val="1"/>
      </rPr>
      <t xml:space="preserve">240Pa</t>
    </r>
    <r>
      <rPr>
        <sz val="9"/>
        <rFont val="WenQuanYi Zen Hei"/>
        <family val="2"/>
      </rPr>
      <t xml:space="preserve">，电机功率</t>
    </r>
    <r>
      <rPr>
        <sz val="9"/>
        <rFont val="宋体"/>
        <family val="0"/>
        <charset val="1"/>
      </rPr>
      <t xml:space="preserve">5.5kW</t>
    </r>
    <r>
      <rPr>
        <sz val="9"/>
        <rFont val="WenQuanYi Zen Hei"/>
        <family val="2"/>
      </rPr>
      <t xml:space="preserve">，输入电压</t>
    </r>
    <r>
      <rPr>
        <sz val="9"/>
        <rFont val="宋体"/>
        <family val="0"/>
        <charset val="1"/>
      </rPr>
      <t xml:space="preserve">380V/50Hz</t>
    </r>
    <r>
      <rPr>
        <sz val="9"/>
        <rFont val="WenQuanYi Zen Hei"/>
        <family val="2"/>
      </rPr>
      <t xml:space="preserve">，双层尼龙过滤网
</t>
    </r>
    <r>
      <rPr>
        <sz val="9"/>
        <color rgb="FF1F4E79"/>
        <rFont val="Arial"/>
        <family val="0"/>
        <charset val="1"/>
      </rPr>
      <t xml:space="preserve">Điều kiện gió hồi, lưu lượng gió 15000m3/h, công suất lạnh 115kW, áp suất tĩnh ngoài máy 240Pa, công suất động cơ 5.5kW, điện áp đầu vào 380V/50Hz, lưới lọc nylon hai lớp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</si>
  <si>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吊顶式射流空气处理机组
</t>
    </r>
    <r>
      <rPr>
        <sz val="9"/>
        <color rgb="FF1F4E79"/>
        <rFont val="Arial"/>
        <family val="0"/>
        <charset val="1"/>
      </rPr>
      <t xml:space="preserve">Cụm xử lý không khí thổi xa (jet) kiểu treo trần
</t>
    </r>
    <r>
      <rPr>
        <sz val="9"/>
        <rFont val="宋体"/>
        <family val="0"/>
        <charset val="1"/>
      </rPr>
      <t xml:space="preserve">RCU-50S</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</si>
  <si>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吊顶式射流空气处理机组
</t>
    </r>
    <r>
      <rPr>
        <sz val="9"/>
        <color rgb="FF1F4E79"/>
        <rFont val="Arial"/>
        <family val="0"/>
        <charset val="1"/>
      </rPr>
      <t xml:space="preserve">1. Tên: cụm xử lý không khí thổi xa (jet) kiểu treo trần
</t>
    </r>
    <r>
      <rPr>
        <sz val="9"/>
        <rFont val="宋体"/>
        <family val="0"/>
        <charset val="1"/>
      </rPr>
      <t xml:space="preserve">2.</t>
    </r>
    <r>
      <rPr>
        <sz val="9"/>
        <rFont val="WenQuanYi Zen Hei"/>
        <family val="2"/>
      </rPr>
      <t xml:space="preserve">编号</t>
    </r>
    <r>
      <rPr>
        <sz val="9"/>
        <rFont val="宋体"/>
        <family val="0"/>
        <charset val="1"/>
      </rPr>
      <t xml:space="preserve">:RCU-50S
</t>
    </r>
    <r>
      <rPr>
        <sz val="9"/>
        <color rgb="FF1F4E79"/>
        <rFont val="Arial"/>
        <family val="0"/>
        <charset val="1"/>
      </rPr>
      <t xml:space="preserve">2. Mã hiệu: RCU-50S
</t>
    </r>
    <r>
      <rPr>
        <sz val="9"/>
        <rFont val="WenQuanYi Zen Hei"/>
        <family val="2"/>
      </rPr>
      <t xml:space="preserve">回风工况，风量</t>
    </r>
    <r>
      <rPr>
        <sz val="9"/>
        <rFont val="宋体"/>
        <family val="0"/>
        <charset val="1"/>
      </rPr>
      <t xml:space="preserve">5000m3/h</t>
    </r>
    <r>
      <rPr>
        <sz val="9"/>
        <rFont val="WenQuanYi Zen Hei"/>
        <family val="2"/>
      </rPr>
      <t xml:space="preserve">，制冷量</t>
    </r>
    <r>
      <rPr>
        <sz val="9"/>
        <rFont val="宋体"/>
        <family val="0"/>
        <charset val="1"/>
      </rPr>
      <t xml:space="preserve">36kW</t>
    </r>
    <r>
      <rPr>
        <sz val="9"/>
        <rFont val="WenQuanYi Zen Hei"/>
        <family val="2"/>
      </rPr>
      <t xml:space="preserve">，射程</t>
    </r>
    <r>
      <rPr>
        <sz val="9"/>
        <rFont val="宋体"/>
        <family val="0"/>
        <charset val="1"/>
      </rPr>
      <t xml:space="preserve">27m</t>
    </r>
    <r>
      <rPr>
        <sz val="9"/>
        <rFont val="WenQuanYi Zen Hei"/>
        <family val="2"/>
      </rPr>
      <t xml:space="preserve">，电机功率</t>
    </r>
    <r>
      <rPr>
        <sz val="9"/>
        <rFont val="宋体"/>
        <family val="0"/>
        <charset val="1"/>
      </rPr>
      <t xml:space="preserve">1.5kW</t>
    </r>
    <r>
      <rPr>
        <sz val="9"/>
        <rFont val="WenQuanYi Zen Hei"/>
        <family val="2"/>
      </rPr>
      <t xml:space="preserve">，输入电压</t>
    </r>
    <r>
      <rPr>
        <sz val="9"/>
        <rFont val="宋体"/>
        <family val="0"/>
        <charset val="1"/>
      </rPr>
      <t xml:space="preserve">380V/50Hz</t>
    </r>
    <r>
      <rPr>
        <sz val="9"/>
        <rFont val="WenQuanYi Zen Hei"/>
        <family val="2"/>
      </rPr>
      <t xml:space="preserve">，双层尼龙过滤网
</t>
    </r>
    <r>
      <rPr>
        <sz val="9"/>
        <color rgb="FF1F4E79"/>
        <rFont val="Arial"/>
        <family val="0"/>
        <charset val="1"/>
      </rPr>
      <t xml:space="preserve">Điều kiện gió hồi, lưu lượng gió 5000m3/h, công suất lạnh 36kW, tầm thổi 27m, công suất động cơ 1.5kW, điện áp đầu vào 380V/50Hz, lưới lọc nylon hai lớp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</si>
  <si>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吊顶式全新空气处理机组
</t>
    </r>
    <r>
      <rPr>
        <sz val="9"/>
        <color rgb="FF1F4E79"/>
        <rFont val="Arial"/>
        <family val="0"/>
        <charset val="1"/>
      </rPr>
      <t xml:space="preserve">Cụm xử lý không khí 100% gió tươi kiểu treo trần
</t>
    </r>
    <r>
      <rPr>
        <sz val="9"/>
        <rFont val="宋体"/>
        <family val="0"/>
        <charset val="1"/>
      </rPr>
      <t xml:space="preserve">FAU-150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</si>
  <si>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吊顶式空气处理机组
</t>
    </r>
    <r>
      <rPr>
        <sz val="9"/>
        <color rgb="FF1F4E79"/>
        <rFont val="Arial"/>
        <family val="0"/>
        <charset val="1"/>
      </rPr>
      <t xml:space="preserve">1. Tên: cụm xử lý không khí kiểu treo trần
</t>
    </r>
    <r>
      <rPr>
        <sz val="9"/>
        <rFont val="宋体"/>
        <family val="0"/>
        <charset val="1"/>
      </rPr>
      <t xml:space="preserve">2.</t>
    </r>
    <r>
      <rPr>
        <sz val="9"/>
        <rFont val="WenQuanYi Zen Hei"/>
        <family val="2"/>
      </rPr>
      <t xml:space="preserve">编号</t>
    </r>
    <r>
      <rPr>
        <sz val="9"/>
        <rFont val="宋体"/>
        <family val="0"/>
        <charset val="1"/>
      </rPr>
      <t xml:space="preserve">:FAU-150
</t>
    </r>
    <r>
      <rPr>
        <sz val="9"/>
        <color rgb="FF1F4E79"/>
        <rFont val="Arial"/>
        <family val="0"/>
        <charset val="1"/>
      </rPr>
      <t xml:space="preserve">2. Mã hiệu: FAU-150
</t>
    </r>
    <r>
      <rPr>
        <sz val="9"/>
        <rFont val="WenQuanYi Zen Hei"/>
        <family val="2"/>
      </rPr>
      <t xml:space="preserve">新风工况，风量</t>
    </r>
    <r>
      <rPr>
        <sz val="9"/>
        <rFont val="宋体"/>
        <family val="0"/>
        <charset val="1"/>
      </rPr>
      <t xml:space="preserve">15000m3/h</t>
    </r>
    <r>
      <rPr>
        <sz val="9"/>
        <rFont val="WenQuanYi Zen Hei"/>
        <family val="2"/>
      </rPr>
      <t xml:space="preserve">，制冷量</t>
    </r>
    <r>
      <rPr>
        <sz val="9"/>
        <rFont val="宋体"/>
        <family val="0"/>
        <charset val="1"/>
      </rPr>
      <t xml:space="preserve">248.5kW</t>
    </r>
    <r>
      <rPr>
        <sz val="9"/>
        <rFont val="WenQuanYi Zen Hei"/>
        <family val="2"/>
      </rPr>
      <t xml:space="preserve">，机外静压</t>
    </r>
    <r>
      <rPr>
        <sz val="9"/>
        <rFont val="宋体"/>
        <family val="0"/>
        <charset val="1"/>
      </rPr>
      <t xml:space="preserve">240Pa</t>
    </r>
    <r>
      <rPr>
        <sz val="9"/>
        <rFont val="WenQuanYi Zen Hei"/>
        <family val="2"/>
      </rPr>
      <t xml:space="preserve">，电机功率</t>
    </r>
    <r>
      <rPr>
        <sz val="9"/>
        <rFont val="宋体"/>
        <family val="0"/>
        <charset val="1"/>
      </rPr>
      <t xml:space="preserve">5.5kW</t>
    </r>
    <r>
      <rPr>
        <sz val="9"/>
        <rFont val="WenQuanYi Zen Hei"/>
        <family val="2"/>
      </rPr>
      <t xml:space="preserve">，输入电压</t>
    </r>
    <r>
      <rPr>
        <sz val="9"/>
        <rFont val="宋体"/>
        <family val="0"/>
        <charset val="1"/>
      </rPr>
      <t xml:space="preserve">380V/50Hz</t>
    </r>
    <r>
      <rPr>
        <sz val="9"/>
        <rFont val="WenQuanYi Zen Hei"/>
        <family val="2"/>
      </rPr>
      <t xml:space="preserve">，双层尼龙过滤网
</t>
    </r>
    <r>
      <rPr>
        <sz val="9"/>
        <color rgb="FF1F4E79"/>
        <rFont val="Arial"/>
        <family val="0"/>
        <charset val="1"/>
      </rPr>
      <t xml:space="preserve">Điều kiện gió tươi, lưu lượng gió 15000m3/h, công suất lạnh 248.5kW, áp suất tĩnh ngoài máy 240Pa, công suất động cơ 5.5kW, điện áp đầu vào 380V/50Hz, lưới lọc nylon hai lớp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</si>
  <si>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卧式明装风机盘管
</t>
    </r>
    <r>
      <rPr>
        <sz val="9"/>
        <color rgb="FF1F4E79"/>
        <rFont val="Arial"/>
        <family val="0"/>
        <charset val="1"/>
      </rPr>
      <t xml:space="preserve">Dàn quạt (FCU) nằm ngang lắp nổi
</t>
    </r>
    <r>
      <rPr>
        <sz val="9"/>
        <rFont val="宋体"/>
        <family val="0"/>
        <charset val="1"/>
      </rPr>
      <t xml:space="preserve">FCU-204M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</si>
  <si>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卧式明装风机盘管
</t>
    </r>
    <r>
      <rPr>
        <sz val="9"/>
        <color rgb="FF1F4E79"/>
        <rFont val="Arial"/>
        <family val="0"/>
        <charset val="1"/>
      </rPr>
      <t xml:space="preserve">1. Tên: Dàn quạt (FCU) nằm ngang lắp nổi
</t>
    </r>
    <r>
      <rPr>
        <sz val="9"/>
        <rFont val="宋体"/>
        <family val="0"/>
        <charset val="1"/>
      </rPr>
      <t xml:space="preserve">2.</t>
    </r>
    <r>
      <rPr>
        <sz val="9"/>
        <rFont val="WenQuanYi Zen Hei"/>
        <family val="2"/>
      </rPr>
      <t xml:space="preserve">编号</t>
    </r>
    <r>
      <rPr>
        <sz val="9"/>
        <rFont val="宋体"/>
        <family val="0"/>
        <charset val="1"/>
      </rPr>
      <t xml:space="preserve">:FCU-204M
</t>
    </r>
    <r>
      <rPr>
        <sz val="9"/>
        <color rgb="FF1F4E79"/>
        <rFont val="Arial"/>
        <family val="0"/>
        <charset val="1"/>
      </rPr>
      <t xml:space="preserve">2. Mã hiệu: FCU-204M
</t>
    </r>
    <r>
      <rPr>
        <sz val="9"/>
        <rFont val="WenQuanYi Zen Hei"/>
        <family val="2"/>
      </rPr>
      <t xml:space="preserve">风量</t>
    </r>
    <r>
      <rPr>
        <sz val="9"/>
        <rFont val="宋体"/>
        <family val="0"/>
        <charset val="1"/>
      </rPr>
      <t xml:space="preserve">2040m3/h</t>
    </r>
    <r>
      <rPr>
        <sz val="9"/>
        <rFont val="WenQuanYi Zen Hei"/>
        <family val="2"/>
      </rPr>
      <t xml:space="preserve">，制冷量</t>
    </r>
    <r>
      <rPr>
        <sz val="9"/>
        <rFont val="宋体"/>
        <family val="0"/>
        <charset val="1"/>
      </rPr>
      <t xml:space="preserve">10.8kW</t>
    </r>
    <r>
      <rPr>
        <sz val="9"/>
        <rFont val="WenQuanYi Zen Hei"/>
        <family val="2"/>
      </rPr>
      <t xml:space="preserve">，输入功率</t>
    </r>
    <r>
      <rPr>
        <sz val="9"/>
        <rFont val="宋体"/>
        <family val="0"/>
        <charset val="1"/>
      </rPr>
      <t xml:space="preserve">183W</t>
    </r>
    <r>
      <rPr>
        <sz val="9"/>
        <rFont val="WenQuanYi Zen Hei"/>
        <family val="2"/>
      </rPr>
      <t xml:space="preserve">，输入电压：</t>
    </r>
    <r>
      <rPr>
        <sz val="9"/>
        <rFont val="宋体"/>
        <family val="0"/>
        <charset val="1"/>
      </rPr>
      <t xml:space="preserve">220V/50Hz
</t>
    </r>
    <r>
      <rPr>
        <sz val="9"/>
        <color rgb="FF1F4E79"/>
        <rFont val="Arial"/>
        <family val="0"/>
        <charset val="1"/>
      </rPr>
      <t xml:space="preserve">Lưu lượng gió 2040m3/h, công suất lạnh 10.8kW, công suất đầu vào 183W, điện áp đầu vào: 220V/50Hz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</si>
  <si>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卧式明装风机盘管
</t>
    </r>
    <r>
      <rPr>
        <sz val="9"/>
        <color rgb="FF1F4E79"/>
        <rFont val="Arial"/>
        <family val="0"/>
        <charset val="1"/>
      </rPr>
      <t xml:space="preserve">Dàn quạt (FCU) nằm ngang lắp nổi
</t>
    </r>
    <r>
      <rPr>
        <sz val="9"/>
        <rFont val="宋体"/>
        <family val="0"/>
        <charset val="1"/>
      </rPr>
      <t xml:space="preserve">FCU-170M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</si>
  <si>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卧式明装风机盘管
</t>
    </r>
    <r>
      <rPr>
        <sz val="9"/>
        <color rgb="FF1F4E79"/>
        <rFont val="Arial"/>
        <family val="0"/>
        <charset val="1"/>
      </rPr>
      <t xml:space="preserve">1. Tên: Dàn quạt (FCU) nằm ngang lắp nổi
</t>
    </r>
    <r>
      <rPr>
        <sz val="9"/>
        <rFont val="宋体"/>
        <family val="0"/>
        <charset val="1"/>
      </rPr>
      <t xml:space="preserve">2.</t>
    </r>
    <r>
      <rPr>
        <sz val="9"/>
        <rFont val="WenQuanYi Zen Hei"/>
        <family val="2"/>
      </rPr>
      <t xml:space="preserve">编号</t>
    </r>
    <r>
      <rPr>
        <sz val="9"/>
        <rFont val="宋体"/>
        <family val="0"/>
        <charset val="1"/>
      </rPr>
      <t xml:space="preserve">:FCU-170M
</t>
    </r>
    <r>
      <rPr>
        <sz val="9"/>
        <color rgb="FF1F4E79"/>
        <rFont val="Arial"/>
        <family val="0"/>
        <charset val="1"/>
      </rPr>
      <t xml:space="preserve">2. Mã hiệu: FCU-170M
</t>
    </r>
    <r>
      <rPr>
        <sz val="9"/>
        <rFont val="WenQuanYi Zen Hei"/>
        <family val="2"/>
      </rPr>
      <t xml:space="preserve">风量</t>
    </r>
    <r>
      <rPr>
        <sz val="9"/>
        <rFont val="宋体"/>
        <family val="0"/>
        <charset val="1"/>
      </rPr>
      <t xml:space="preserve">1700m3/h</t>
    </r>
    <r>
      <rPr>
        <sz val="9"/>
        <rFont val="WenQuanYi Zen Hei"/>
        <family val="2"/>
      </rPr>
      <t xml:space="preserve">，制冷量</t>
    </r>
    <r>
      <rPr>
        <sz val="9"/>
        <rFont val="宋体"/>
        <family val="0"/>
        <charset val="1"/>
      </rPr>
      <t xml:space="preserve">9.0kW</t>
    </r>
    <r>
      <rPr>
        <sz val="9"/>
        <rFont val="WenQuanYi Zen Hei"/>
        <family val="2"/>
      </rPr>
      <t xml:space="preserve">，输入功率</t>
    </r>
    <r>
      <rPr>
        <sz val="9"/>
        <rFont val="宋体"/>
        <family val="0"/>
        <charset val="1"/>
      </rPr>
      <t xml:space="preserve">147W</t>
    </r>
    <r>
      <rPr>
        <sz val="9"/>
        <rFont val="WenQuanYi Zen Hei"/>
        <family val="2"/>
      </rPr>
      <t xml:space="preserve">，输入电压：</t>
    </r>
    <r>
      <rPr>
        <sz val="9"/>
        <rFont val="宋体"/>
        <family val="0"/>
        <charset val="1"/>
      </rPr>
      <t xml:space="preserve">220V/50Hz
</t>
    </r>
    <r>
      <rPr>
        <sz val="9"/>
        <color rgb="FF1F4E79"/>
        <rFont val="Arial"/>
        <family val="0"/>
        <charset val="1"/>
      </rPr>
      <t xml:space="preserve">Lưu lượng gió 1700m3/h, công suất lạnh 9.0kW, công suất đầu vào 147W, điện áp đầu vào: 220V/50Hz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</si>
  <si>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卧式明装风机盘管
</t>
    </r>
    <r>
      <rPr>
        <sz val="9"/>
        <color rgb="FF1F4E79"/>
        <rFont val="Arial"/>
        <family val="0"/>
        <charset val="1"/>
      </rPr>
      <t xml:space="preserve">Dàn quạt (FCU) nằm ngang lắp nổi
</t>
    </r>
    <r>
      <rPr>
        <sz val="9"/>
        <rFont val="宋体"/>
        <family val="0"/>
        <charset val="1"/>
      </rPr>
      <t xml:space="preserve">FCU-136M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</si>
  <si>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卧式明装风机盘管
</t>
    </r>
    <r>
      <rPr>
        <sz val="9"/>
        <color rgb="FF1F4E79"/>
        <rFont val="Arial"/>
        <family val="0"/>
        <charset val="1"/>
      </rPr>
      <t xml:space="preserve">1. Tên: Dàn quạt (FCU) nằm ngang lắp nổi
</t>
    </r>
    <r>
      <rPr>
        <sz val="9"/>
        <rFont val="宋体"/>
        <family val="0"/>
        <charset val="1"/>
      </rPr>
      <t xml:space="preserve">2.</t>
    </r>
    <r>
      <rPr>
        <sz val="9"/>
        <rFont val="WenQuanYi Zen Hei"/>
        <family val="2"/>
      </rPr>
      <t xml:space="preserve">编号</t>
    </r>
    <r>
      <rPr>
        <sz val="9"/>
        <rFont val="宋体"/>
        <family val="0"/>
        <charset val="1"/>
      </rPr>
      <t xml:space="preserve">:FCU-136M
</t>
    </r>
    <r>
      <rPr>
        <sz val="9"/>
        <color rgb="FF1F4E79"/>
        <rFont val="Arial"/>
        <family val="0"/>
        <charset val="1"/>
      </rPr>
      <t xml:space="preserve">2. Mã hiệu: FCU-136M
</t>
    </r>
    <r>
      <rPr>
        <sz val="9"/>
        <rFont val="WenQuanYi Zen Hei"/>
        <family val="2"/>
      </rPr>
      <t xml:space="preserve">风量</t>
    </r>
    <r>
      <rPr>
        <sz val="9"/>
        <rFont val="宋体"/>
        <family val="0"/>
        <charset val="1"/>
      </rPr>
      <t xml:space="preserve">1360m3/h</t>
    </r>
    <r>
      <rPr>
        <sz val="9"/>
        <rFont val="WenQuanYi Zen Hei"/>
        <family val="2"/>
      </rPr>
      <t xml:space="preserve">，制冷量</t>
    </r>
    <r>
      <rPr>
        <sz val="9"/>
        <rFont val="宋体"/>
        <family val="0"/>
        <charset val="1"/>
      </rPr>
      <t xml:space="preserve">7.2kW</t>
    </r>
    <r>
      <rPr>
        <sz val="9"/>
        <rFont val="WenQuanYi Zen Hei"/>
        <family val="2"/>
      </rPr>
      <t xml:space="preserve">，输入功率</t>
    </r>
    <r>
      <rPr>
        <sz val="9"/>
        <rFont val="宋体"/>
        <family val="0"/>
        <charset val="1"/>
      </rPr>
      <t xml:space="preserve">142W</t>
    </r>
    <r>
      <rPr>
        <sz val="9"/>
        <rFont val="WenQuanYi Zen Hei"/>
        <family val="2"/>
      </rPr>
      <t xml:space="preserve">，输入电压：</t>
    </r>
    <r>
      <rPr>
        <sz val="9"/>
        <rFont val="宋体"/>
        <family val="0"/>
        <charset val="1"/>
      </rPr>
      <t xml:space="preserve">220V/50Hz
</t>
    </r>
    <r>
      <rPr>
        <sz val="9"/>
        <color rgb="FF1F4E79"/>
        <rFont val="Arial"/>
        <family val="0"/>
        <charset val="1"/>
      </rPr>
      <t xml:space="preserve">Lưu lượng gió 1360m3/h, công suất lạnh 7.2kW, công suất đầu vào 142W, điện áp đầu vào: 220V/50Hz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</si>
  <si>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卧式明装风机盘管
</t>
    </r>
    <r>
      <rPr>
        <sz val="9"/>
        <color rgb="FF1F4E79"/>
        <rFont val="Arial"/>
        <family val="0"/>
        <charset val="1"/>
      </rPr>
      <t xml:space="preserve">Dàn quạt (FCU) nằm ngang lắp nổi
</t>
    </r>
    <r>
      <rPr>
        <sz val="9"/>
        <rFont val="宋体"/>
        <family val="0"/>
        <charset val="1"/>
      </rPr>
      <t xml:space="preserve">FCU-85M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</si>
  <si>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卧式明装风机盘管
</t>
    </r>
    <r>
      <rPr>
        <sz val="9"/>
        <color rgb="FF1F4E79"/>
        <rFont val="Arial"/>
        <family val="0"/>
        <charset val="1"/>
      </rPr>
      <t xml:space="preserve">1. Tên: Dàn quạt (FCU) nằm ngang lắp nổi
</t>
    </r>
    <r>
      <rPr>
        <sz val="9"/>
        <rFont val="宋体"/>
        <family val="0"/>
        <charset val="1"/>
      </rPr>
      <t xml:space="preserve">2.</t>
    </r>
    <r>
      <rPr>
        <sz val="9"/>
        <rFont val="WenQuanYi Zen Hei"/>
        <family val="2"/>
      </rPr>
      <t xml:space="preserve">编号</t>
    </r>
    <r>
      <rPr>
        <sz val="9"/>
        <rFont val="宋体"/>
        <family val="0"/>
        <charset val="1"/>
      </rPr>
      <t xml:space="preserve">:FCU-85M
</t>
    </r>
    <r>
      <rPr>
        <sz val="9"/>
        <color rgb="FF1F4E79"/>
        <rFont val="Arial"/>
        <family val="0"/>
        <charset val="1"/>
      </rPr>
      <t xml:space="preserve">2. Mã hiệu: FCU-85M
</t>
    </r>
    <r>
      <rPr>
        <sz val="9"/>
        <rFont val="WenQuanYi Zen Hei"/>
        <family val="2"/>
      </rPr>
      <t xml:space="preserve">风量</t>
    </r>
    <r>
      <rPr>
        <sz val="9"/>
        <rFont val="宋体"/>
        <family val="0"/>
        <charset val="1"/>
      </rPr>
      <t xml:space="preserve">850m3/h</t>
    </r>
    <r>
      <rPr>
        <sz val="9"/>
        <rFont val="WenQuanYi Zen Hei"/>
        <family val="2"/>
      </rPr>
      <t xml:space="preserve">，制冷量</t>
    </r>
    <r>
      <rPr>
        <sz val="9"/>
        <rFont val="宋体"/>
        <family val="0"/>
        <charset val="1"/>
      </rPr>
      <t xml:space="preserve">4.5kW</t>
    </r>
    <r>
      <rPr>
        <sz val="9"/>
        <rFont val="WenQuanYi Zen Hei"/>
        <family val="2"/>
      </rPr>
      <t xml:space="preserve">，输入功率</t>
    </r>
    <r>
      <rPr>
        <sz val="9"/>
        <rFont val="宋体"/>
        <family val="0"/>
        <charset val="1"/>
      </rPr>
      <t xml:space="preserve">80W</t>
    </r>
    <r>
      <rPr>
        <sz val="9"/>
        <rFont val="WenQuanYi Zen Hei"/>
        <family val="2"/>
      </rPr>
      <t xml:space="preserve">，输入电压：</t>
    </r>
    <r>
      <rPr>
        <sz val="9"/>
        <rFont val="宋体"/>
        <family val="0"/>
        <charset val="1"/>
      </rPr>
      <t xml:space="preserve">220V/50Hz
</t>
    </r>
    <r>
      <rPr>
        <sz val="9"/>
        <color rgb="FF1F4E79"/>
        <rFont val="Arial"/>
        <family val="0"/>
        <charset val="1"/>
      </rPr>
      <t xml:space="preserve">Lưu lượng gió 850m3/h, công suất lạnh 4.5kW, công suất đầu vào 80W, điện áp đầu vào: 220V/50Hz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</si>
  <si>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卧式明装风机盘管
</t>
    </r>
    <r>
      <rPr>
        <sz val="9"/>
        <color rgb="FF1F4E79"/>
        <rFont val="Arial"/>
        <family val="0"/>
        <charset val="1"/>
      </rPr>
      <t xml:space="preserve">Dàn quạt (FCU) nằm ngang lắp nổi
</t>
    </r>
    <r>
      <rPr>
        <sz val="9"/>
        <rFont val="宋体"/>
        <family val="0"/>
        <charset val="1"/>
      </rPr>
      <t xml:space="preserve">FCU-68M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</si>
  <si>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卧式明装风机盘管
</t>
    </r>
    <r>
      <rPr>
        <sz val="9"/>
        <color rgb="FF1F4E79"/>
        <rFont val="Arial"/>
        <family val="0"/>
        <charset val="1"/>
      </rPr>
      <t xml:space="preserve">1. Tên: Dàn quạt (FCU) nằm ngang lắp nổi
</t>
    </r>
    <r>
      <rPr>
        <sz val="9"/>
        <rFont val="宋体"/>
        <family val="0"/>
        <charset val="1"/>
      </rPr>
      <t xml:space="preserve">2.</t>
    </r>
    <r>
      <rPr>
        <sz val="9"/>
        <rFont val="WenQuanYi Zen Hei"/>
        <family val="2"/>
      </rPr>
      <t xml:space="preserve">编号</t>
    </r>
    <r>
      <rPr>
        <sz val="9"/>
        <rFont val="宋体"/>
        <family val="0"/>
        <charset val="1"/>
      </rPr>
      <t xml:space="preserve">:FCU-68M
</t>
    </r>
    <r>
      <rPr>
        <sz val="9"/>
        <color rgb="FF1F4E79"/>
        <rFont val="Arial"/>
        <family val="0"/>
        <charset val="1"/>
      </rPr>
      <t xml:space="preserve">2. Mã hiệu: FCU-68M
</t>
    </r>
    <r>
      <rPr>
        <sz val="9"/>
        <rFont val="WenQuanYi Zen Hei"/>
        <family val="2"/>
      </rPr>
      <t xml:space="preserve">风量</t>
    </r>
    <r>
      <rPr>
        <sz val="9"/>
        <rFont val="宋体"/>
        <family val="0"/>
        <charset val="1"/>
      </rPr>
      <t xml:space="preserve">680m3/h</t>
    </r>
    <r>
      <rPr>
        <sz val="9"/>
        <rFont val="WenQuanYi Zen Hei"/>
        <family val="2"/>
      </rPr>
      <t xml:space="preserve">，制冷量</t>
    </r>
    <r>
      <rPr>
        <sz val="9"/>
        <rFont val="宋体"/>
        <family val="0"/>
        <charset val="1"/>
      </rPr>
      <t xml:space="preserve">3.6kW</t>
    </r>
    <r>
      <rPr>
        <sz val="9"/>
        <rFont val="WenQuanYi Zen Hei"/>
        <family val="2"/>
      </rPr>
      <t xml:space="preserve">，输入功率</t>
    </r>
    <r>
      <rPr>
        <sz val="9"/>
        <rFont val="宋体"/>
        <family val="0"/>
        <charset val="1"/>
      </rPr>
      <t xml:space="preserve">70W</t>
    </r>
    <r>
      <rPr>
        <sz val="9"/>
        <rFont val="WenQuanYi Zen Hei"/>
        <family val="2"/>
      </rPr>
      <t xml:space="preserve">，输入电压：</t>
    </r>
    <r>
      <rPr>
        <sz val="9"/>
        <rFont val="宋体"/>
        <family val="0"/>
        <charset val="1"/>
      </rPr>
      <t xml:space="preserve">220V/50Hz
</t>
    </r>
    <r>
      <rPr>
        <sz val="9"/>
        <color rgb="FF1F4E79"/>
        <rFont val="Arial"/>
        <family val="0"/>
        <charset val="1"/>
      </rPr>
      <t xml:space="preserve">Lưu lượng gió 680m3/h, công suất lạnh 3.6kW, công suất đầu vào 70W, điện áp đầu vào: 220V/50Hz
</t>
    </r>
    <r>
      <rPr>
        <sz val="9"/>
        <rFont val="宋体"/>
        <family val="0"/>
        <charset val="1"/>
      </rPr>
      <t xml:space="preserve">3.</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3. Hình thức lắp đặt: treo trần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</si>
  <si>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吊顶式恒温恒湿空气处理机组</t>
    </r>
    <r>
      <rPr>
        <sz val="9"/>
        <rFont val="宋体"/>
        <family val="0"/>
        <charset val="1"/>
      </rPr>
      <t xml:space="preserve">AHU-300</t>
    </r>
    <r>
      <rPr>
        <sz val="9"/>
        <rFont val="WenQuanYi Zen Hei"/>
        <family val="2"/>
      </rPr>
      <t xml:space="preserve">安装支吊架
</t>
    </r>
    <r>
      <rPr>
        <sz val="9"/>
        <color rgb="FF1F4E79"/>
        <rFont val="Arial"/>
        <family val="0"/>
        <charset val="1"/>
      </rPr>
      <t xml:space="preserve">Giá treo đỡ lắp đặt cụm xử lý không khí nhiệt độ ổn định, độ ẩm ổn định kiểu treo trần AHU-300
</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</si>
  <si>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:14#</t>
    </r>
    <r>
      <rPr>
        <sz val="9"/>
        <rFont val="WenQuanYi Zen Hei"/>
        <family val="2"/>
      </rPr>
      <t xml:space="preserve">、</t>
    </r>
    <r>
      <rPr>
        <sz val="9"/>
        <rFont val="宋体"/>
        <family val="0"/>
        <charset val="1"/>
      </rPr>
      <t xml:space="preserve">16#</t>
    </r>
    <r>
      <rPr>
        <sz val="9"/>
        <rFont val="WenQuanYi Zen Hei"/>
        <family val="2"/>
      </rPr>
      <t xml:space="preserve">工字钢，方形钢板
</t>
    </r>
    <r>
      <rPr>
        <sz val="9"/>
        <color rgb="FF1F4E79"/>
        <rFont val="Arial"/>
        <family val="0"/>
        <charset val="1"/>
      </rPr>
      <t xml:space="preserve">2. Vật liệu: thép chữ I số 14#, 16#, thép tấm vuông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含减震弹簧
</t>
    </r>
    <r>
      <rPr>
        <sz val="9"/>
        <color rgb="FF1F4E79"/>
        <rFont val="Arial"/>
        <family val="0"/>
        <charset val="1"/>
      </rPr>
      <t xml:space="preserve">4. Bao gồm lò xo giảm chấn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</si>
  <si>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吊顶式恒温恒湿空气处理机组</t>
    </r>
    <r>
      <rPr>
        <sz val="9"/>
        <rFont val="宋体"/>
        <family val="0"/>
        <charset val="1"/>
      </rPr>
      <t xml:space="preserve">AHU-150/MAU-150</t>
    </r>
    <r>
      <rPr>
        <sz val="9"/>
        <rFont val="WenQuanYi Zen Hei"/>
        <family val="2"/>
      </rPr>
      <t xml:space="preserve">安装支吊架
</t>
    </r>
    <r>
      <rPr>
        <sz val="9"/>
        <color rgb="FF1F4E79"/>
        <rFont val="Arial"/>
        <family val="0"/>
        <charset val="1"/>
      </rPr>
      <t xml:space="preserve">Giá treo đỡ lắp đặt cụm xử lý không khí nhiệt độ ổn định, độ ẩm ổn định kiểu treo trần AHU-150/MAU-150
</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</si>
  <si>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:12#</t>
    </r>
    <r>
      <rPr>
        <sz val="9"/>
        <rFont val="WenQuanYi Zen Hei"/>
        <family val="2"/>
      </rPr>
      <t xml:space="preserve">、</t>
    </r>
    <r>
      <rPr>
        <sz val="9"/>
        <rFont val="宋体"/>
        <family val="0"/>
        <charset val="1"/>
      </rPr>
      <t xml:space="preserve">14#</t>
    </r>
    <r>
      <rPr>
        <sz val="9"/>
        <rFont val="WenQuanYi Zen Hei"/>
        <family val="2"/>
      </rPr>
      <t xml:space="preserve">工字钢，方形钢板
</t>
    </r>
    <r>
      <rPr>
        <sz val="9"/>
        <color rgb="FF1F4E79"/>
        <rFont val="Arial"/>
        <family val="0"/>
        <charset val="1"/>
      </rPr>
      <t xml:space="preserve">2. Vật liệu: thép chữ I số 12#, 14#, thép tấm vuông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含减震弹簧
</t>
    </r>
    <r>
      <rPr>
        <sz val="9"/>
        <color rgb="FF1F4E79"/>
        <rFont val="Arial"/>
        <family val="0"/>
        <charset val="1"/>
      </rPr>
      <t xml:space="preserve">4. Bao gồm lò xo giảm chấn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</si>
  <si>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吊顶式空气处理机组</t>
    </r>
    <r>
      <rPr>
        <sz val="9"/>
        <rFont val="宋体"/>
        <family val="0"/>
        <charset val="1"/>
      </rPr>
      <t xml:space="preserve">RCU-150/FAU-150</t>
    </r>
    <r>
      <rPr>
        <sz val="9"/>
        <rFont val="WenQuanYi Zen Hei"/>
        <family val="2"/>
      </rPr>
      <t xml:space="preserve">安装支吊架
</t>
    </r>
    <r>
      <rPr>
        <sz val="9"/>
        <color rgb="FF1F4E79"/>
        <rFont val="Arial"/>
        <family val="0"/>
        <charset val="1"/>
      </rPr>
      <t xml:space="preserve">Giá treo đỡ lắp đặt cụm xử lý không khí kiểu treo trần RCU-150/FAU-150
</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</si>
  <si>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:12#</t>
    </r>
    <r>
      <rPr>
        <sz val="9"/>
        <rFont val="WenQuanYi Zen Hei"/>
        <family val="2"/>
      </rPr>
      <t xml:space="preserve">槽钢
</t>
    </r>
    <r>
      <rPr>
        <sz val="9"/>
        <color rgb="FF1F4E79"/>
        <rFont val="Arial"/>
        <family val="0"/>
        <charset val="1"/>
      </rPr>
      <t xml:space="preserve">2. Vật liệu: thép chữ U số 12#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含减震弹簧
</t>
    </r>
    <r>
      <rPr>
        <sz val="9"/>
        <color rgb="FF1F4E79"/>
        <rFont val="Arial"/>
        <family val="0"/>
        <charset val="1"/>
      </rPr>
      <t xml:space="preserve">4. Bao gồm lò xo giảm chấn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</si>
  <si>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吊顶式空气处理机组</t>
    </r>
    <r>
      <rPr>
        <sz val="9"/>
        <rFont val="宋体"/>
        <family val="0"/>
        <charset val="1"/>
      </rPr>
      <t xml:space="preserve">RCU-50S</t>
    </r>
    <r>
      <rPr>
        <sz val="9"/>
        <rFont val="WenQuanYi Zen Hei"/>
        <family val="2"/>
      </rPr>
      <t xml:space="preserve">安装支吊架
</t>
    </r>
    <r>
      <rPr>
        <sz val="9"/>
        <color rgb="FF1F4E79"/>
        <rFont val="Arial"/>
        <family val="0"/>
        <charset val="1"/>
      </rPr>
      <t xml:space="preserve">Giá treo đỡ lắp đặt cụm xử lý không khí kiểu treo trần RCU-50S
</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</si>
  <si>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:16#</t>
    </r>
    <r>
      <rPr>
        <sz val="9"/>
        <rFont val="WenQuanYi Zen Hei"/>
        <family val="2"/>
      </rPr>
      <t xml:space="preserve">槽钢、丝杆
</t>
    </r>
    <r>
      <rPr>
        <sz val="9"/>
        <color rgb="FF1F4E79"/>
        <rFont val="Arial"/>
        <family val="0"/>
        <charset val="1"/>
      </rPr>
      <t xml:space="preserve">2. Vật liệu: thép chữ U số 16#, ty ren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含减震弹簧
</t>
    </r>
    <r>
      <rPr>
        <sz val="9"/>
        <color rgb="FF1F4E79"/>
        <rFont val="Arial"/>
        <family val="0"/>
        <charset val="1"/>
      </rPr>
      <t xml:space="preserve">4. Bao gồm lò xo giảm chấn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</si>
  <si>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风机盘管安装支吊架
</t>
    </r>
    <r>
      <rPr>
        <sz val="9"/>
        <color rgb="FF1F4E79"/>
        <rFont val="Arial"/>
        <family val="0"/>
        <charset val="1"/>
      </rPr>
      <t xml:space="preserve">Giá treo đỡ lắp đặt dàn quạt (FCU)
</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</si>
  <si>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吊杆
</t>
    </r>
    <r>
      <rPr>
        <sz val="9"/>
        <color rgb="FF1F4E79"/>
        <rFont val="Arial"/>
        <family val="0"/>
        <charset val="1"/>
      </rPr>
      <t xml:space="preserve">1. Hình thức: ty treo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丝杆
</t>
    </r>
    <r>
      <rPr>
        <sz val="9"/>
        <color rgb="FF1F4E79"/>
        <rFont val="Arial"/>
        <family val="0"/>
        <charset val="1"/>
      </rPr>
      <t xml:space="preserve">2. Vật liệu: ty ren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含减震胶垫
</t>
    </r>
    <r>
      <rPr>
        <sz val="9"/>
        <color rgb="FF1F4E79"/>
        <rFont val="Arial"/>
        <family val="0"/>
        <charset val="1"/>
      </rPr>
      <t xml:space="preserve">4. Bao gồm đệm cao su giảm chấn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</si>
  <si>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b val="true"/>
        <sz val="9"/>
        <rFont val="WenQuanYi Zen Hei"/>
        <family val="2"/>
      </rPr>
      <t xml:space="preserve">空调风系统
</t>
    </r>
    <r>
      <rPr>
        <b val="true"/>
        <sz val="9"/>
        <color rgb="FF1F4E79"/>
        <rFont val="Arial"/>
        <family val="0"/>
        <charset val="1"/>
      </rPr>
      <t xml:space="preserve">Hệ thống gió điều hòa</t>
    </r>
  </si>
  <si>
    <r>
      <rPr>
        <sz val="9"/>
        <rFont val="WenQuanYi Zen Hei"/>
        <family val="2"/>
      </rPr>
      <t xml:space="preserve">空调风管
</t>
    </r>
    <r>
      <rPr>
        <sz val="9"/>
        <color rgb="FF1F4E79"/>
        <rFont val="Arial"/>
        <family val="0"/>
        <charset val="1"/>
      </rPr>
      <t xml:space="preserve">Ống gió điều hòa</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</si>
  <si>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空调风管
</t>
    </r>
    <r>
      <rPr>
        <sz val="9"/>
        <color rgb="FF1F4E79"/>
        <rFont val="Arial"/>
        <family val="0"/>
        <charset val="1"/>
      </rPr>
      <t xml:space="preserve">1. Tên: ống gió điều hòa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:450</t>
    </r>
    <r>
      <rPr>
        <sz val="9"/>
        <rFont val="WenQuanYi Zen Hei"/>
        <family val="2"/>
      </rPr>
      <t xml:space="preserve">＜长边长</t>
    </r>
    <r>
      <rPr>
        <sz val="9"/>
        <rFont val="宋体"/>
        <family val="0"/>
        <charset val="1"/>
      </rPr>
      <t xml:space="preserve">(mm) ≤630
</t>
    </r>
    <r>
      <rPr>
        <sz val="9"/>
        <color rgb="FF1F4E79"/>
        <rFont val="Arial"/>
        <family val="0"/>
        <charset val="1"/>
      </rPr>
      <t xml:space="preserve">3. Quy cách: 450</t>
    </r>
    <r>
      <rPr>
        <sz val="9"/>
        <color rgb="FF1F4E79"/>
        <rFont val="WenQuanYi Zen Hei"/>
        <family val="2"/>
      </rPr>
      <t xml:space="preserve">＜</t>
    </r>
    <r>
      <rPr>
        <sz val="9"/>
        <color rgb="FF1F4E79"/>
        <rFont val="Arial"/>
        <family val="0"/>
        <charset val="1"/>
      </rPr>
      <t xml:space="preserve">chiều dài cạnh dài (mm) ≤630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共板法兰连接
</t>
    </r>
    <r>
      <rPr>
        <sz val="9"/>
        <color rgb="FF1F4E79"/>
        <rFont val="Arial"/>
        <family val="0"/>
        <charset val="1"/>
      </rPr>
      <t xml:space="preserve">5. Hình thức mối nối: nối bích liền tôn (TDC)
</t>
    </r>
    <r>
      <rPr>
        <sz val="9"/>
        <rFont val="宋体"/>
        <family val="0"/>
        <charset val="1"/>
      </rPr>
      <t xml:space="preserve">6.</t>
    </r>
    <r>
      <rPr>
        <sz val="9"/>
        <rFont val="WenQuanYi Zen Hei"/>
        <family val="2"/>
      </rPr>
      <t xml:space="preserve">板材厚度</t>
    </r>
    <r>
      <rPr>
        <sz val="9"/>
        <rFont val="宋体"/>
        <family val="0"/>
        <charset val="1"/>
      </rPr>
      <t xml:space="preserve">:δ=0.6mm
</t>
    </r>
    <r>
      <rPr>
        <sz val="9"/>
        <color rgb="FF1F4E79"/>
        <rFont val="Arial"/>
        <family val="0"/>
        <charset val="1"/>
      </rPr>
      <t xml:space="preserve">6. Độ dày tấm: δ=0.6mm
</t>
    </r>
    <r>
      <rPr>
        <sz val="9"/>
        <rFont val="宋体"/>
        <family val="0"/>
        <charset val="1"/>
      </rPr>
      <t xml:space="preserve">7.</t>
    </r>
    <r>
      <rPr>
        <sz val="9"/>
        <rFont val="WenQuanYi Zen Hei"/>
        <family val="2"/>
      </rPr>
      <t xml:space="preserve">含管件、法兰等附件
</t>
    </r>
    <r>
      <rPr>
        <sz val="9"/>
        <color rgb="FF1F4E79"/>
        <rFont val="Arial"/>
        <family val="0"/>
        <charset val="1"/>
      </rPr>
      <t xml:space="preserve">7. Bao gồm phụ kiện ống, mặt bích và các phụ kiện khác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</si>
  <si>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t xml:space="preserve">㎡</t>
  </si>
  <si>
    <r>
      <rPr>
        <sz val="9"/>
        <rFont val="WenQuanYi Zen Hei"/>
        <family val="2"/>
      </rPr>
      <t xml:space="preserve">华友、鞍钢
</t>
    </r>
    <r>
      <rPr>
        <sz val="9"/>
        <color rgb="FF1F4E79"/>
        <rFont val="Arial"/>
        <family val="0"/>
        <charset val="1"/>
      </rPr>
      <t xml:space="preserve">Huayou, Ansteel</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</si>
  <si>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空调风管
</t>
    </r>
    <r>
      <rPr>
        <sz val="9"/>
        <color rgb="FF1F4E79"/>
        <rFont val="Arial"/>
        <family val="0"/>
        <charset val="1"/>
      </rPr>
      <t xml:space="preserve">1. Tên: ống gió điều hòa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:630</t>
    </r>
    <r>
      <rPr>
        <sz val="9"/>
        <rFont val="WenQuanYi Zen Hei"/>
        <family val="2"/>
      </rPr>
      <t xml:space="preserve">＜长边长</t>
    </r>
    <r>
      <rPr>
        <sz val="9"/>
        <rFont val="宋体"/>
        <family val="0"/>
        <charset val="1"/>
      </rPr>
      <t xml:space="preserve">(mm) ≤1000
</t>
    </r>
    <r>
      <rPr>
        <sz val="9"/>
        <color rgb="FF1F4E79"/>
        <rFont val="Arial"/>
        <family val="0"/>
        <charset val="1"/>
      </rPr>
      <t xml:space="preserve">3. Quy cách: 630</t>
    </r>
    <r>
      <rPr>
        <sz val="9"/>
        <color rgb="FF1F4E79"/>
        <rFont val="WenQuanYi Zen Hei"/>
        <family val="2"/>
      </rPr>
      <t xml:space="preserve">＜</t>
    </r>
    <r>
      <rPr>
        <sz val="9"/>
        <color rgb="FF1F4E79"/>
        <rFont val="Arial"/>
        <family val="0"/>
        <charset val="1"/>
      </rPr>
      <t xml:space="preserve">chiều dài cạnh dài (mm) ≤1000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共板法兰连接
</t>
    </r>
    <r>
      <rPr>
        <sz val="9"/>
        <color rgb="FF1F4E79"/>
        <rFont val="Arial"/>
        <family val="0"/>
        <charset val="1"/>
      </rPr>
      <t xml:space="preserve">5. Hình thức mối nối: nối bích liền tôn (TDC)
</t>
    </r>
    <r>
      <rPr>
        <sz val="9"/>
        <rFont val="宋体"/>
        <family val="0"/>
        <charset val="1"/>
      </rPr>
      <t xml:space="preserve">6.</t>
    </r>
    <r>
      <rPr>
        <sz val="9"/>
        <rFont val="WenQuanYi Zen Hei"/>
        <family val="2"/>
      </rPr>
      <t xml:space="preserve">板材厚度</t>
    </r>
    <r>
      <rPr>
        <sz val="9"/>
        <rFont val="宋体"/>
        <family val="0"/>
        <charset val="1"/>
      </rPr>
      <t xml:space="preserve">:δ=0.75mm
</t>
    </r>
    <r>
      <rPr>
        <sz val="9"/>
        <color rgb="FF1F4E79"/>
        <rFont val="Arial"/>
        <family val="0"/>
        <charset val="1"/>
      </rPr>
      <t xml:space="preserve">6. Độ dày tấm: δ=0.75mm
</t>
    </r>
    <r>
      <rPr>
        <sz val="9"/>
        <rFont val="宋体"/>
        <family val="0"/>
        <charset val="1"/>
      </rPr>
      <t xml:space="preserve">7.</t>
    </r>
    <r>
      <rPr>
        <sz val="9"/>
        <rFont val="WenQuanYi Zen Hei"/>
        <family val="2"/>
      </rPr>
      <t xml:space="preserve">含管件、法兰等附件
</t>
    </r>
    <r>
      <rPr>
        <sz val="9"/>
        <color rgb="FF1F4E79"/>
        <rFont val="Arial"/>
        <family val="0"/>
        <charset val="1"/>
      </rPr>
      <t xml:space="preserve">7. Bao gồm phụ kiện ống, mặt bích và các phụ kiện khác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</si>
  <si>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空调风管
</t>
    </r>
    <r>
      <rPr>
        <sz val="9"/>
        <color rgb="FF1F4E79"/>
        <rFont val="Arial"/>
        <family val="0"/>
        <charset val="1"/>
      </rPr>
      <t xml:space="preserve">1. Tên: ống gió điều hòa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:1000</t>
    </r>
    <r>
      <rPr>
        <sz val="9"/>
        <rFont val="WenQuanYi Zen Hei"/>
        <family val="2"/>
      </rPr>
      <t xml:space="preserve">＜长边长</t>
    </r>
    <r>
      <rPr>
        <sz val="9"/>
        <rFont val="宋体"/>
        <family val="0"/>
        <charset val="1"/>
      </rPr>
      <t xml:space="preserve">(mm) ≤1500
</t>
    </r>
    <r>
      <rPr>
        <sz val="9"/>
        <color rgb="FF1F4E79"/>
        <rFont val="Arial"/>
        <family val="0"/>
        <charset val="1"/>
      </rPr>
      <t xml:space="preserve">3. Quy cách: 1000</t>
    </r>
    <r>
      <rPr>
        <sz val="9"/>
        <color rgb="FF1F4E79"/>
        <rFont val="WenQuanYi Zen Hei"/>
        <family val="2"/>
      </rPr>
      <t xml:space="preserve">＜</t>
    </r>
    <r>
      <rPr>
        <sz val="9"/>
        <color rgb="FF1F4E79"/>
        <rFont val="Arial"/>
        <family val="0"/>
        <charset val="1"/>
      </rPr>
      <t xml:space="preserve">chiều dài cạnh dài (mm) ≤1500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共板法兰连接
</t>
    </r>
    <r>
      <rPr>
        <sz val="9"/>
        <color rgb="FF1F4E79"/>
        <rFont val="Arial"/>
        <family val="0"/>
        <charset val="1"/>
      </rPr>
      <t xml:space="preserve">5. Hình thức mối nối: nối bích liền tôn (TDC)
</t>
    </r>
    <r>
      <rPr>
        <sz val="9"/>
        <rFont val="宋体"/>
        <family val="0"/>
        <charset val="1"/>
      </rPr>
      <t xml:space="preserve">6.</t>
    </r>
    <r>
      <rPr>
        <sz val="9"/>
        <rFont val="WenQuanYi Zen Hei"/>
        <family val="2"/>
      </rPr>
      <t xml:space="preserve">板材厚度</t>
    </r>
    <r>
      <rPr>
        <sz val="9"/>
        <rFont val="宋体"/>
        <family val="0"/>
        <charset val="1"/>
      </rPr>
      <t xml:space="preserve">:δ=1.0mm
</t>
    </r>
    <r>
      <rPr>
        <sz val="9"/>
        <color rgb="FF1F4E79"/>
        <rFont val="Arial"/>
        <family val="0"/>
        <charset val="1"/>
      </rPr>
      <t xml:space="preserve">6. Độ dày tấm: δ=1.0mm
</t>
    </r>
    <r>
      <rPr>
        <sz val="9"/>
        <rFont val="宋体"/>
        <family val="0"/>
        <charset val="1"/>
      </rPr>
      <t xml:space="preserve">7.</t>
    </r>
    <r>
      <rPr>
        <sz val="9"/>
        <rFont val="WenQuanYi Zen Hei"/>
        <family val="2"/>
      </rPr>
      <t xml:space="preserve">含管件、法兰等附件
</t>
    </r>
    <r>
      <rPr>
        <sz val="9"/>
        <color rgb="FF1F4E79"/>
        <rFont val="Arial"/>
        <family val="0"/>
        <charset val="1"/>
      </rPr>
      <t xml:space="preserve">7. Bao gồm phụ kiện ống, mặt bích và các phụ kiện khác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</si>
  <si>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空调风管
</t>
    </r>
    <r>
      <rPr>
        <sz val="9"/>
        <color rgb="FF1F4E79"/>
        <rFont val="Arial"/>
        <family val="0"/>
        <charset val="1"/>
      </rPr>
      <t xml:space="preserve">1. Tên: ống gió điều hòa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:1500</t>
    </r>
    <r>
      <rPr>
        <sz val="9"/>
        <rFont val="WenQuanYi Zen Hei"/>
        <family val="2"/>
      </rPr>
      <t xml:space="preserve">＜长边长</t>
    </r>
    <r>
      <rPr>
        <sz val="9"/>
        <rFont val="宋体"/>
        <family val="0"/>
        <charset val="1"/>
      </rPr>
      <t xml:space="preserve">(mm) ≤2000
</t>
    </r>
    <r>
      <rPr>
        <sz val="9"/>
        <color rgb="FF1F4E79"/>
        <rFont val="Arial"/>
        <family val="0"/>
        <charset val="1"/>
      </rPr>
      <t xml:space="preserve">3. Quy cách: 1500</t>
    </r>
    <r>
      <rPr>
        <sz val="9"/>
        <color rgb="FF1F4E79"/>
        <rFont val="WenQuanYi Zen Hei"/>
        <family val="2"/>
      </rPr>
      <t xml:space="preserve">＜</t>
    </r>
    <r>
      <rPr>
        <sz val="9"/>
        <color rgb="FF1F4E79"/>
        <rFont val="Arial"/>
        <family val="0"/>
        <charset val="1"/>
      </rPr>
      <t xml:space="preserve">chiều dài cạnh dài (mm) ≤2000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共板法兰连接
</t>
    </r>
    <r>
      <rPr>
        <sz val="9"/>
        <color rgb="FF1F4E79"/>
        <rFont val="Arial"/>
        <family val="0"/>
        <charset val="1"/>
      </rPr>
      <t xml:space="preserve">5. Hình thức mối nối: nối bích liền tôn (TDC)
</t>
    </r>
    <r>
      <rPr>
        <sz val="9"/>
        <rFont val="宋体"/>
        <family val="0"/>
        <charset val="1"/>
      </rPr>
      <t xml:space="preserve">6.</t>
    </r>
    <r>
      <rPr>
        <sz val="9"/>
        <rFont val="WenQuanYi Zen Hei"/>
        <family val="2"/>
      </rPr>
      <t xml:space="preserve">板材厚度</t>
    </r>
    <r>
      <rPr>
        <sz val="9"/>
        <rFont val="宋体"/>
        <family val="0"/>
        <charset val="1"/>
      </rPr>
      <t xml:space="preserve">:δ=1.2mm
</t>
    </r>
    <r>
      <rPr>
        <sz val="9"/>
        <color rgb="FF1F4E79"/>
        <rFont val="Arial"/>
        <family val="0"/>
        <charset val="1"/>
      </rPr>
      <t xml:space="preserve">6. Độ dày tấm: δ=1.2mm
</t>
    </r>
    <r>
      <rPr>
        <sz val="9"/>
        <rFont val="宋体"/>
        <family val="0"/>
        <charset val="1"/>
      </rPr>
      <t xml:space="preserve">7.</t>
    </r>
    <r>
      <rPr>
        <sz val="9"/>
        <rFont val="WenQuanYi Zen Hei"/>
        <family val="2"/>
      </rPr>
      <t xml:space="preserve">含管件、法兰等附件
</t>
    </r>
    <r>
      <rPr>
        <sz val="9"/>
        <color rgb="FF1F4E79"/>
        <rFont val="Arial"/>
        <family val="0"/>
        <charset val="1"/>
      </rPr>
      <t xml:space="preserve">7. Bao gồm phụ kiện ống, mặt bích và các phụ kiện khác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</si>
  <si>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静压箱
</t>
    </r>
    <r>
      <rPr>
        <sz val="9"/>
        <color rgb="FF1F4E79"/>
        <rFont val="Arial"/>
        <family val="0"/>
        <charset val="1"/>
      </rPr>
      <t xml:space="preserve">Hộp tĩnh áp (plenum)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</si>
  <si>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静压箱
</t>
    </r>
    <r>
      <rPr>
        <sz val="9"/>
        <color rgb="FF1F4E79"/>
        <rFont val="Arial"/>
        <family val="0"/>
        <charset val="1"/>
      </rPr>
      <t xml:space="preserve">1. Tên: hộp tĩnh áp (plenum)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:2300*1000*1000
</t>
    </r>
    <r>
      <rPr>
        <sz val="9"/>
        <color rgb="FF1F4E79"/>
        <rFont val="Arial"/>
        <family val="0"/>
        <charset val="1"/>
      </rPr>
      <t xml:space="preserve">3. Quy cách: 2300*1000*1000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咬口连接
</t>
    </r>
    <r>
      <rPr>
        <sz val="9"/>
        <color rgb="FF1F4E79"/>
        <rFont val="Arial"/>
        <family val="0"/>
        <charset val="1"/>
      </rPr>
      <t xml:space="preserve">5. Hình thức mối nối: nối ghép mí
</t>
    </r>
    <r>
      <rPr>
        <sz val="9"/>
        <rFont val="宋体"/>
        <family val="0"/>
        <charset val="1"/>
      </rPr>
      <t xml:space="preserve">6.</t>
    </r>
    <r>
      <rPr>
        <sz val="9"/>
        <rFont val="WenQuanYi Zen Hei"/>
        <family val="2"/>
      </rPr>
      <t xml:space="preserve">板材厚度</t>
    </r>
    <r>
      <rPr>
        <sz val="9"/>
        <rFont val="宋体"/>
        <family val="0"/>
        <charset val="1"/>
      </rPr>
      <t xml:space="preserve">:δ=1.2mm
</t>
    </r>
    <r>
      <rPr>
        <sz val="9"/>
        <color rgb="FF1F4E79"/>
        <rFont val="Arial"/>
        <family val="0"/>
        <charset val="1"/>
      </rPr>
      <t xml:space="preserve">6. Độ dày tấm: δ=1.2mm
</t>
    </r>
    <r>
      <rPr>
        <sz val="9"/>
        <rFont val="宋体"/>
        <family val="0"/>
        <charset val="1"/>
      </rPr>
      <t xml:space="preserve">7.</t>
    </r>
    <r>
      <rPr>
        <sz val="9"/>
        <rFont val="WenQuanYi Zen Hei"/>
        <family val="2"/>
      </rPr>
      <t xml:space="preserve">保温材质</t>
    </r>
    <r>
      <rPr>
        <sz val="9"/>
        <rFont val="宋体"/>
        <family val="0"/>
        <charset val="1"/>
      </rPr>
      <t xml:space="preserve">:B1</t>
    </r>
    <r>
      <rPr>
        <sz val="9"/>
        <rFont val="WenQuanYi Zen Hei"/>
        <family val="2"/>
      </rPr>
      <t xml:space="preserve">级橡塑保温棉</t>
    </r>
    <r>
      <rPr>
        <sz val="9"/>
        <rFont val="宋体"/>
        <family val="0"/>
        <charset val="1"/>
      </rPr>
      <t xml:space="preserve">δ=25mm
</t>
    </r>
    <r>
      <rPr>
        <sz val="9"/>
        <color rgb="FF1F4E79"/>
        <rFont val="Arial"/>
        <family val="0"/>
        <charset val="1"/>
      </rPr>
      <t xml:space="preserve">7. Vật liệu bảo ôn: bông bảo ôn cao su xốp cấp B1 δ=25mm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</si>
  <si>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静压箱
</t>
    </r>
    <r>
      <rPr>
        <sz val="9"/>
        <color rgb="FF1F4E79"/>
        <rFont val="Arial"/>
        <family val="0"/>
        <charset val="1"/>
      </rPr>
      <t xml:space="preserve">1. Tên: hộp tĩnh áp (plenum)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:2200*1200*1000
</t>
    </r>
    <r>
      <rPr>
        <sz val="9"/>
        <color rgb="FF1F4E79"/>
        <rFont val="Arial"/>
        <family val="0"/>
        <charset val="1"/>
      </rPr>
      <t xml:space="preserve">3. Quy cách: 2200*1200*1000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咬口连接
</t>
    </r>
    <r>
      <rPr>
        <sz val="9"/>
        <color rgb="FF1F4E79"/>
        <rFont val="Arial"/>
        <family val="0"/>
        <charset val="1"/>
      </rPr>
      <t xml:space="preserve">5. Hình thức mối nối: nối ghép mí
</t>
    </r>
    <r>
      <rPr>
        <sz val="9"/>
        <rFont val="宋体"/>
        <family val="0"/>
        <charset val="1"/>
      </rPr>
      <t xml:space="preserve">6.</t>
    </r>
    <r>
      <rPr>
        <sz val="9"/>
        <rFont val="WenQuanYi Zen Hei"/>
        <family val="2"/>
      </rPr>
      <t xml:space="preserve">板材厚度</t>
    </r>
    <r>
      <rPr>
        <sz val="9"/>
        <rFont val="宋体"/>
        <family val="0"/>
        <charset val="1"/>
      </rPr>
      <t xml:space="preserve">:δ=1.2mm
</t>
    </r>
    <r>
      <rPr>
        <sz val="9"/>
        <color rgb="FF1F4E79"/>
        <rFont val="Arial"/>
        <family val="0"/>
        <charset val="1"/>
      </rPr>
      <t xml:space="preserve">6. Độ dày tấm: δ=1.2mm
</t>
    </r>
    <r>
      <rPr>
        <sz val="9"/>
        <rFont val="宋体"/>
        <family val="0"/>
        <charset val="1"/>
      </rPr>
      <t xml:space="preserve">7.</t>
    </r>
    <r>
      <rPr>
        <sz val="9"/>
        <rFont val="WenQuanYi Zen Hei"/>
        <family val="2"/>
      </rPr>
      <t xml:space="preserve">保温材质</t>
    </r>
    <r>
      <rPr>
        <sz val="9"/>
        <rFont val="宋体"/>
        <family val="0"/>
        <charset val="1"/>
      </rPr>
      <t xml:space="preserve">:B1</t>
    </r>
    <r>
      <rPr>
        <sz val="9"/>
        <rFont val="WenQuanYi Zen Hei"/>
        <family val="2"/>
      </rPr>
      <t xml:space="preserve">级橡塑保温棉</t>
    </r>
    <r>
      <rPr>
        <sz val="9"/>
        <rFont val="宋体"/>
        <family val="0"/>
        <charset val="1"/>
      </rPr>
      <t xml:space="preserve">δ=25mm
</t>
    </r>
    <r>
      <rPr>
        <sz val="9"/>
        <color rgb="FF1F4E79"/>
        <rFont val="Arial"/>
        <family val="0"/>
        <charset val="1"/>
      </rPr>
      <t xml:space="preserve">7. Vật liệu bảo ôn: bông bảo ôn cao su xốp cấp B1 δ=25mm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</si>
  <si>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静压箱
</t>
    </r>
    <r>
      <rPr>
        <sz val="9"/>
        <color rgb="FF1F4E79"/>
        <rFont val="Arial"/>
        <family val="0"/>
        <charset val="1"/>
      </rPr>
      <t xml:space="preserve">1. Tên: hộp tĩnh áp (plenum)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:1600*1200*1000
</t>
    </r>
    <r>
      <rPr>
        <sz val="9"/>
        <color rgb="FF1F4E79"/>
        <rFont val="Arial"/>
        <family val="0"/>
        <charset val="1"/>
      </rPr>
      <t xml:space="preserve">3. Quy cách: 1600*1200*1000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咬口连接
</t>
    </r>
    <r>
      <rPr>
        <sz val="9"/>
        <color rgb="FF1F4E79"/>
        <rFont val="Arial"/>
        <family val="0"/>
        <charset val="1"/>
      </rPr>
      <t xml:space="preserve">5. Hình thức mối nối: nối ghép mí
</t>
    </r>
    <r>
      <rPr>
        <sz val="9"/>
        <rFont val="宋体"/>
        <family val="0"/>
        <charset val="1"/>
      </rPr>
      <t xml:space="preserve">6.</t>
    </r>
    <r>
      <rPr>
        <sz val="9"/>
        <rFont val="WenQuanYi Zen Hei"/>
        <family val="2"/>
      </rPr>
      <t xml:space="preserve">板材厚度</t>
    </r>
    <r>
      <rPr>
        <sz val="9"/>
        <rFont val="宋体"/>
        <family val="0"/>
        <charset val="1"/>
      </rPr>
      <t xml:space="preserve">:δ=1.2mm
</t>
    </r>
    <r>
      <rPr>
        <sz val="9"/>
        <color rgb="FF1F4E79"/>
        <rFont val="Arial"/>
        <family val="0"/>
        <charset val="1"/>
      </rPr>
      <t xml:space="preserve">6. Độ dày tấm: δ=1.2mm
</t>
    </r>
    <r>
      <rPr>
        <sz val="9"/>
        <rFont val="宋体"/>
        <family val="0"/>
        <charset val="1"/>
      </rPr>
      <t xml:space="preserve">7.</t>
    </r>
    <r>
      <rPr>
        <sz val="9"/>
        <rFont val="WenQuanYi Zen Hei"/>
        <family val="2"/>
      </rPr>
      <t xml:space="preserve">保温材质</t>
    </r>
    <r>
      <rPr>
        <sz val="9"/>
        <rFont val="宋体"/>
        <family val="0"/>
        <charset val="1"/>
      </rPr>
      <t xml:space="preserve">:B1</t>
    </r>
    <r>
      <rPr>
        <sz val="9"/>
        <rFont val="WenQuanYi Zen Hei"/>
        <family val="2"/>
      </rPr>
      <t xml:space="preserve">级橡塑保温棉</t>
    </r>
    <r>
      <rPr>
        <sz val="9"/>
        <rFont val="宋体"/>
        <family val="0"/>
        <charset val="1"/>
      </rPr>
      <t xml:space="preserve">δ=25mm
</t>
    </r>
    <r>
      <rPr>
        <sz val="9"/>
        <color rgb="FF1F4E79"/>
        <rFont val="Arial"/>
        <family val="0"/>
        <charset val="1"/>
      </rPr>
      <t xml:space="preserve">7. Vật liệu bảo ôn: bông bảo ôn cao su xốp cấp B1 δ=25mm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</si>
  <si>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空调风管绝热
</t>
    </r>
    <r>
      <rPr>
        <sz val="9"/>
        <color rgb="FF1F4E79"/>
        <rFont val="Arial"/>
        <family val="0"/>
        <charset val="1"/>
      </rPr>
      <t xml:space="preserve">Cách nhiệt ống gió điều hòa</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</si>
  <si>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空调风管绝热
</t>
    </r>
    <r>
      <rPr>
        <sz val="9"/>
        <color rgb="FF1F4E79"/>
        <rFont val="Arial"/>
        <family val="0"/>
        <charset val="1"/>
      </rPr>
      <t xml:space="preserve">1. Tên: cách nhiệt ống gió điều hòa
</t>
    </r>
    <r>
      <rPr>
        <sz val="9"/>
        <rFont val="宋体"/>
        <family val="0"/>
        <charset val="1"/>
      </rPr>
      <t xml:space="preserve">2.</t>
    </r>
    <r>
      <rPr>
        <sz val="9"/>
        <rFont val="WenQuanYi Zen Hei"/>
        <family val="2"/>
      </rPr>
      <t xml:space="preserve">材质</t>
    </r>
    <r>
      <rPr>
        <sz val="9"/>
        <rFont val="宋体"/>
        <family val="0"/>
        <charset val="1"/>
      </rPr>
      <t xml:space="preserve">:B1</t>
    </r>
    <r>
      <rPr>
        <sz val="9"/>
        <rFont val="WenQuanYi Zen Hei"/>
        <family val="2"/>
      </rPr>
      <t xml:space="preserve">级橡塑保温棉
</t>
    </r>
    <r>
      <rPr>
        <sz val="9"/>
        <color rgb="FF1F4E79"/>
        <rFont val="Arial"/>
        <family val="0"/>
        <charset val="1"/>
      </rPr>
      <t xml:space="preserve">2. Vật liệu: bông bảo ôn cao su xốp cấp B1
</t>
    </r>
    <r>
      <rPr>
        <sz val="9"/>
        <rFont val="宋体"/>
        <family val="0"/>
        <charset val="1"/>
      </rPr>
      <t xml:space="preserve">3.</t>
    </r>
    <r>
      <rPr>
        <sz val="9"/>
        <rFont val="WenQuanYi Zen Hei"/>
        <family val="2"/>
      </rPr>
      <t xml:space="preserve">材料厚度</t>
    </r>
    <r>
      <rPr>
        <sz val="9"/>
        <rFont val="宋体"/>
        <family val="0"/>
        <charset val="1"/>
      </rPr>
      <t xml:space="preserve">:δ=25mm
</t>
    </r>
    <r>
      <rPr>
        <sz val="9"/>
        <color rgb="FF1F4E79"/>
        <rFont val="Arial"/>
        <family val="0"/>
        <charset val="1"/>
      </rPr>
      <t xml:space="preserve">3. Độ dày vật liệu: δ=25mm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</si>
  <si>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华美
</t>
    </r>
    <r>
      <rPr>
        <sz val="9"/>
        <color rgb="FF1F4E79"/>
        <rFont val="Arial"/>
        <family val="0"/>
        <charset val="1"/>
      </rPr>
      <t xml:space="preserve">Huamei</t>
    </r>
  </si>
  <si>
    <r>
      <rPr>
        <sz val="9"/>
        <rFont val="WenQuanYi Zen Hei"/>
        <family val="2"/>
      </rPr>
      <t xml:space="preserve">空调风管安装支吊架
</t>
    </r>
    <r>
      <rPr>
        <sz val="9"/>
        <color rgb="FF1F4E79"/>
        <rFont val="Arial"/>
        <family val="0"/>
        <charset val="1"/>
      </rPr>
      <t xml:space="preserve">Giá treo đỡ lắp đặt ống gió điều hòa</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</si>
  <si>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角钢、丝杆
</t>
    </r>
    <r>
      <rPr>
        <sz val="9"/>
        <color rgb="FF1F4E79"/>
        <rFont val="Arial"/>
        <family val="0"/>
        <charset val="1"/>
      </rPr>
      <t xml:space="preserve">2. Vật liệu: thép góc, ty ren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</si>
  <si>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纤维织物风管
</t>
    </r>
    <r>
      <rPr>
        <sz val="9"/>
        <color rgb="FF1F4E79"/>
        <rFont val="Arial"/>
        <family val="0"/>
        <charset val="1"/>
      </rPr>
      <t xml:space="preserve">Ống gió vải sợi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</si>
  <si>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20m
</t>
    </r>
    <r>
      <rPr>
        <sz val="9"/>
        <color rgb="FF1F4E79"/>
        <rFont val="Arial"/>
        <family val="0"/>
        <charset val="1"/>
      </rPr>
      <t xml:space="preserve">3. Quy cách: φ900, chiều dài 20m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</si>
  <si>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条
</t>
    </r>
    <r>
      <rPr>
        <sz val="9"/>
        <color rgb="FF1F4E79"/>
        <rFont val="Arial"/>
        <family val="0"/>
        <charset val="1"/>
      </rPr>
      <t xml:space="preserve">Đường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</si>
  <si>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19m
</t>
    </r>
    <r>
      <rPr>
        <sz val="9"/>
        <color rgb="FF1F4E79"/>
        <rFont val="Arial"/>
        <family val="0"/>
        <charset val="1"/>
      </rPr>
      <t xml:space="preserve">3. Quy cách: φ900, chiều dài 19m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</si>
  <si>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18m
</t>
    </r>
    <r>
      <rPr>
        <sz val="9"/>
        <color rgb="FF1F4E79"/>
        <rFont val="Arial"/>
        <family val="0"/>
        <charset val="1"/>
      </rPr>
      <t xml:space="preserve">3. Quy cách: φ900, chiều dài 18m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</si>
  <si>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15m
</t>
    </r>
    <r>
      <rPr>
        <sz val="9"/>
        <color rgb="FF1F4E79"/>
        <rFont val="Arial"/>
        <family val="0"/>
        <charset val="1"/>
      </rPr>
      <t xml:space="preserve">3. Quy cách: φ900, chiều dài 15m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</si>
  <si>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:φ750</t>
    </r>
    <r>
      <rPr>
        <sz val="9"/>
        <rFont val="WenQuanYi Zen Hei"/>
        <family val="2"/>
      </rPr>
      <t xml:space="preserve">，长度</t>
    </r>
    <r>
      <rPr>
        <sz val="9"/>
        <rFont val="宋体"/>
        <family val="0"/>
        <charset val="1"/>
      </rPr>
      <t xml:space="preserve">20m
</t>
    </r>
    <r>
      <rPr>
        <sz val="9"/>
        <color rgb="FF1F4E79"/>
        <rFont val="Arial"/>
        <family val="0"/>
        <charset val="1"/>
      </rPr>
      <t xml:space="preserve">3. Quy cách: φ750, chiều dài 20m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</si>
  <si>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:φ750</t>
    </r>
    <r>
      <rPr>
        <sz val="9"/>
        <rFont val="WenQuanYi Zen Hei"/>
        <family val="2"/>
      </rPr>
      <t xml:space="preserve">，长度</t>
    </r>
    <r>
      <rPr>
        <sz val="9"/>
        <rFont val="宋体"/>
        <family val="0"/>
        <charset val="1"/>
      </rPr>
      <t xml:space="preserve">18m
</t>
    </r>
    <r>
      <rPr>
        <sz val="9"/>
        <color rgb="FF1F4E79"/>
        <rFont val="Arial"/>
        <family val="0"/>
        <charset val="1"/>
      </rPr>
      <t xml:space="preserve">3. Quy cách: φ750, chiều dài 18m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</si>
  <si>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:φ750</t>
    </r>
    <r>
      <rPr>
        <sz val="9"/>
        <rFont val="WenQuanYi Zen Hei"/>
        <family val="2"/>
      </rPr>
      <t xml:space="preserve">，长度</t>
    </r>
    <r>
      <rPr>
        <sz val="9"/>
        <rFont val="宋体"/>
        <family val="0"/>
        <charset val="1"/>
      </rPr>
      <t xml:space="preserve">17m
</t>
    </r>
    <r>
      <rPr>
        <sz val="9"/>
        <color rgb="FF1F4E79"/>
        <rFont val="Arial"/>
        <family val="0"/>
        <charset val="1"/>
      </rPr>
      <t xml:space="preserve">3. Quy cách: φ750, chiều dài 17m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</si>
  <si>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:φ750</t>
    </r>
    <r>
      <rPr>
        <sz val="9"/>
        <rFont val="WenQuanYi Zen Hei"/>
        <family val="2"/>
      </rPr>
      <t xml:space="preserve">，长度</t>
    </r>
    <r>
      <rPr>
        <sz val="9"/>
        <rFont val="宋体"/>
        <family val="0"/>
        <charset val="1"/>
      </rPr>
      <t xml:space="preserve">14m
</t>
    </r>
    <r>
      <rPr>
        <sz val="9"/>
        <color rgb="FF1F4E79"/>
        <rFont val="Arial"/>
        <family val="0"/>
        <charset val="1"/>
      </rPr>
      <t xml:space="preserve">3. Quy cách: φ750, chiều dài 14m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</si>
  <si>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:φ600</t>
    </r>
    <r>
      <rPr>
        <sz val="9"/>
        <rFont val="WenQuanYi Zen Hei"/>
        <family val="2"/>
      </rPr>
      <t xml:space="preserve">，长度</t>
    </r>
    <r>
      <rPr>
        <sz val="9"/>
        <rFont val="宋体"/>
        <family val="0"/>
        <charset val="1"/>
      </rPr>
      <t xml:space="preserve">15m
</t>
    </r>
    <r>
      <rPr>
        <sz val="9"/>
        <color rgb="FF1F4E79"/>
        <rFont val="Arial"/>
        <family val="0"/>
        <charset val="1"/>
      </rPr>
      <t xml:space="preserve">3. Quy cách: φ600, chiều dài 15m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</si>
  <si>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:φ600</t>
    </r>
    <r>
      <rPr>
        <sz val="9"/>
        <rFont val="WenQuanYi Zen Hei"/>
        <family val="2"/>
      </rPr>
      <t xml:space="preserve">，长度</t>
    </r>
    <r>
      <rPr>
        <sz val="9"/>
        <rFont val="宋体"/>
        <family val="0"/>
        <charset val="1"/>
      </rPr>
      <t xml:space="preserve">13m
</t>
    </r>
    <r>
      <rPr>
        <sz val="9"/>
        <color rgb="FF1F4E79"/>
        <rFont val="Arial"/>
        <family val="0"/>
        <charset val="1"/>
      </rPr>
      <t xml:space="preserve">3. Quy cách: φ600, chiều dài 13m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</si>
  <si>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:φ600</t>
    </r>
    <r>
      <rPr>
        <sz val="9"/>
        <rFont val="WenQuanYi Zen Hei"/>
        <family val="2"/>
      </rPr>
      <t xml:space="preserve">，长度</t>
    </r>
    <r>
      <rPr>
        <sz val="9"/>
        <rFont val="宋体"/>
        <family val="0"/>
        <charset val="1"/>
      </rPr>
      <t xml:space="preserve">12m
</t>
    </r>
    <r>
      <rPr>
        <sz val="9"/>
        <color rgb="FF1F4E79"/>
        <rFont val="Arial"/>
        <family val="0"/>
        <charset val="1"/>
      </rPr>
      <t xml:space="preserve">3. Quy cách: φ600, chiều dài 12m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</si>
  <si>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纤维织物风管变径头
</t>
    </r>
    <r>
      <rPr>
        <sz val="9"/>
        <color rgb="FF1F4E79"/>
        <rFont val="Arial"/>
        <family val="0"/>
        <charset val="1"/>
      </rPr>
      <t xml:space="preserve">Đầu thu (côn chuyển tiết diện) ống gió vải sợi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</si>
  <si>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纤维织物风管变径头
</t>
    </r>
    <r>
      <rPr>
        <sz val="9"/>
        <color rgb="FF1F4E79"/>
        <rFont val="Arial"/>
        <family val="0"/>
        <charset val="1"/>
      </rPr>
      <t xml:space="preserve">1. Tên: đầu thu (côn chuyển tiết diện)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:φ900-φ750</t>
    </r>
    <r>
      <rPr>
        <sz val="9"/>
        <rFont val="WenQuanYi Zen Hei"/>
        <family val="2"/>
      </rPr>
      <t xml:space="preserve">，长度</t>
    </r>
    <r>
      <rPr>
        <sz val="9"/>
        <rFont val="宋体"/>
        <family val="0"/>
        <charset val="1"/>
      </rPr>
      <t xml:space="preserve">320mm
</t>
    </r>
    <r>
      <rPr>
        <sz val="9"/>
        <color rgb="FF1F4E79"/>
        <rFont val="Arial"/>
        <family val="0"/>
        <charset val="1"/>
      </rPr>
      <t xml:space="preserve">3. Quy cách: φ900-φ750, chiều dài 320mm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</si>
  <si>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纤维织物风管变径头
</t>
    </r>
    <r>
      <rPr>
        <sz val="9"/>
        <color rgb="FF1F4E79"/>
        <rFont val="Arial"/>
        <family val="0"/>
        <charset val="1"/>
      </rPr>
      <t xml:space="preserve">1. Tên: đầu thu (côn chuyển tiết diện)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:φ750-φ600</t>
    </r>
    <r>
      <rPr>
        <sz val="9"/>
        <rFont val="WenQuanYi Zen Hei"/>
        <family val="2"/>
      </rPr>
      <t xml:space="preserve">，长度</t>
    </r>
    <r>
      <rPr>
        <sz val="9"/>
        <rFont val="宋体"/>
        <family val="0"/>
        <charset val="1"/>
      </rPr>
      <t xml:space="preserve">320mm
</t>
    </r>
    <r>
      <rPr>
        <sz val="9"/>
        <color rgb="FF1F4E79"/>
        <rFont val="Arial"/>
        <family val="0"/>
        <charset val="1"/>
      </rPr>
      <t xml:space="preserve">3. Quy cách: φ750-φ600, chiều dài 320mm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</si>
  <si>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纤维织物风管末端
</t>
    </r>
    <r>
      <rPr>
        <sz val="9"/>
        <color rgb="FF1F4E79"/>
        <rFont val="Arial"/>
        <family val="0"/>
        <charset val="1"/>
      </rPr>
      <t xml:space="preserve">Đầu cuối ống gió vải sợi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</si>
  <si>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纤维织物风管末端
</t>
    </r>
    <r>
      <rPr>
        <sz val="9"/>
        <color rgb="FF1F4E79"/>
        <rFont val="Arial"/>
        <family val="0"/>
        <charset val="1"/>
      </rPr>
      <t xml:space="preserve">1. Tên: đầu cuối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:φ600
</t>
    </r>
    <r>
      <rPr>
        <sz val="9"/>
        <color rgb="FF1F4E79"/>
        <rFont val="Arial"/>
        <family val="0"/>
        <charset val="1"/>
      </rPr>
      <t xml:space="preserve">3. Quy cách: φ600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</si>
  <si>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纤维织物风管安装扎紧器
</t>
    </r>
    <r>
      <rPr>
        <sz val="9"/>
        <color rgb="FF1F4E79"/>
        <rFont val="Arial"/>
        <family val="0"/>
        <charset val="1"/>
      </rPr>
      <t xml:space="preserve">Đai siết lắp đặt ống gió vải sợi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</si>
  <si>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纤维织物风管扎紧器
</t>
    </r>
    <r>
      <rPr>
        <sz val="9"/>
        <color rgb="FF1F4E79"/>
        <rFont val="Arial"/>
        <family val="0"/>
        <charset val="1"/>
      </rPr>
      <t xml:space="preserve">1. Tên: đai siết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
</t>
    </r>
    <r>
      <rPr>
        <sz val="9"/>
        <color rgb="FF1F4E79"/>
        <rFont val="Arial"/>
        <family val="0"/>
        <charset val="1"/>
      </rPr>
      <t xml:space="preserve">3. Quy cách: φ900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</si>
  <si>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纤维织物风管安装钢丝绳
</t>
    </r>
    <r>
      <rPr>
        <sz val="9"/>
        <color rgb="FF1F4E79"/>
        <rFont val="Arial"/>
        <family val="0"/>
        <charset val="1"/>
      </rPr>
      <t xml:space="preserve">Cáp thép lắp đặt ống gió vải sợi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</si>
  <si>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钢丝绳
</t>
    </r>
    <r>
      <rPr>
        <sz val="9"/>
        <color rgb="FF1F4E79"/>
        <rFont val="Arial"/>
        <family val="0"/>
        <charset val="1"/>
      </rPr>
      <t xml:space="preserve">1. Tên: cáp thép
</t>
    </r>
    <r>
      <rPr>
        <sz val="9"/>
        <rFont val="宋体"/>
        <family val="0"/>
        <charset val="1"/>
      </rPr>
      <t xml:space="preserve">2.</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2. Khác: phù hợp với yêu cầu của bản vẽ thiết kế và quy phạm thi công</t>
    </r>
  </si>
  <si>
    <r>
      <rPr>
        <sz val="9"/>
        <rFont val="WenQuanYi Zen Hei"/>
        <family val="2"/>
      </rPr>
      <t xml:space="preserve">双层送风百叶
</t>
    </r>
    <r>
      <rPr>
        <sz val="9"/>
        <color rgb="FF1F4E79"/>
        <rFont val="Arial"/>
        <family val="0"/>
        <charset val="1"/>
      </rPr>
      <t xml:space="preserve">Cửa gió cấp nan kép</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</si>
  <si>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双层送风百叶
</t>
    </r>
    <r>
      <rPr>
        <sz val="9"/>
        <color rgb="FF1F4E79"/>
        <rFont val="Arial"/>
        <family val="0"/>
        <charset val="1"/>
      </rPr>
      <t xml:space="preserve">1. Tên: cửa gió cấp nan kép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内径</t>
    </r>
    <r>
      <rPr>
        <sz val="9"/>
        <rFont val="宋体"/>
        <family val="0"/>
        <charset val="1"/>
      </rPr>
      <t xml:space="preserve">630*320
</t>
    </r>
    <r>
      <rPr>
        <sz val="9"/>
        <color rgb="FF1F4E79"/>
        <rFont val="Arial"/>
        <family val="0"/>
        <charset val="1"/>
      </rPr>
      <t xml:space="preserve">2. Quy cách: kích thước trong 630*320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</si>
  <si>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门铰式回风百叶
</t>
    </r>
    <r>
      <rPr>
        <sz val="9"/>
        <color rgb="FF1F4E79"/>
        <rFont val="Arial"/>
        <family val="0"/>
        <charset val="1"/>
      </rPr>
      <t xml:space="preserve">Cửa gió hồi dạng bản lề</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</si>
  <si>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门铰式回风百叶
</t>
    </r>
    <r>
      <rPr>
        <sz val="9"/>
        <color rgb="FF1F4E79"/>
        <rFont val="Arial"/>
        <family val="0"/>
        <charset val="1"/>
      </rPr>
      <t xml:space="preserve">1. Tên: cửa gió hồi dạng bản lề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面径</t>
    </r>
    <r>
      <rPr>
        <sz val="9"/>
        <rFont val="宋体"/>
        <family val="0"/>
        <charset val="1"/>
      </rPr>
      <t xml:space="preserve">400*1200
</t>
    </r>
    <r>
      <rPr>
        <sz val="9"/>
        <color rgb="FF1F4E79"/>
        <rFont val="Arial"/>
        <family val="0"/>
        <charset val="1"/>
      </rPr>
      <t xml:space="preserve">2. Quy cách: kích thước mặt 400*1200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</si>
  <si>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防雨百叶
</t>
    </r>
    <r>
      <rPr>
        <sz val="9"/>
        <color rgb="FF1F4E79"/>
        <rFont val="Arial"/>
        <family val="0"/>
        <charset val="1"/>
      </rPr>
      <t xml:space="preserve">Cửa gió chắn mưa</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</si>
  <si>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防雨百叶
</t>
    </r>
    <r>
      <rPr>
        <sz val="9"/>
        <color rgb="FF1F4E79"/>
        <rFont val="Arial"/>
        <family val="0"/>
        <charset val="1"/>
      </rPr>
      <t xml:space="preserve">1. Tên: cửa gió chắn mưa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内径</t>
    </r>
    <r>
      <rPr>
        <sz val="9"/>
        <rFont val="宋体"/>
        <family val="0"/>
        <charset val="1"/>
      </rPr>
      <t xml:space="preserve">1600*800
</t>
    </r>
    <r>
      <rPr>
        <sz val="9"/>
        <color rgb="FF1F4E79"/>
        <rFont val="Arial"/>
        <family val="0"/>
        <charset val="1"/>
      </rPr>
      <t xml:space="preserve">2. Quy cách: kích thước trong 1600*800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</si>
  <si>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防雨百叶
</t>
    </r>
    <r>
      <rPr>
        <sz val="9"/>
        <color rgb="FF1F4E79"/>
        <rFont val="Arial"/>
        <family val="0"/>
        <charset val="1"/>
      </rPr>
      <t xml:space="preserve">1. Tên: cửa gió chắn mưa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内径</t>
    </r>
    <r>
      <rPr>
        <sz val="9"/>
        <rFont val="宋体"/>
        <family val="0"/>
        <charset val="1"/>
      </rPr>
      <t xml:space="preserve">1600*500
</t>
    </r>
    <r>
      <rPr>
        <sz val="9"/>
        <color rgb="FF1F4E79"/>
        <rFont val="Arial"/>
        <family val="0"/>
        <charset val="1"/>
      </rPr>
      <t xml:space="preserve">2. Quy cách: kích thước trong 1600*500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</si>
  <si>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70℃</t>
    </r>
    <r>
      <rPr>
        <sz val="9"/>
        <rFont val="WenQuanYi Zen Hei"/>
        <family val="2"/>
      </rPr>
      <t xml:space="preserve">防火阀
</t>
    </r>
    <r>
      <rPr>
        <sz val="9"/>
        <color rgb="FF1F4E79"/>
        <rFont val="Arial"/>
        <family val="0"/>
        <charset val="1"/>
      </rPr>
      <t xml:space="preserve">Van chặn lửa 70℃</t>
    </r>
  </si>
  <si>
    <r>
      <rPr>
        <sz val="9"/>
        <rFont val="宋体"/>
        <family val="0"/>
        <charset val="1"/>
      </rPr>
      <t xml:space="preserve">1.</t>
    </r>
    <r>
      <rPr>
        <sz val="9"/>
        <rFont val="WenQuanYi Zen Hei"/>
        <family val="2"/>
      </rPr>
      <t xml:space="preserve">名称</t>
    </r>
    <r>
      <rPr>
        <sz val="9"/>
        <rFont val="宋体"/>
        <family val="0"/>
        <charset val="1"/>
      </rPr>
      <t xml:space="preserve">:70℃</t>
    </r>
    <r>
      <rPr>
        <sz val="9"/>
        <rFont val="WenQuanYi Zen Hei"/>
        <family val="2"/>
      </rPr>
      <t xml:space="preserve">防火阀
</t>
    </r>
    <r>
      <rPr>
        <sz val="9"/>
        <color rgb="FF1F4E79"/>
        <rFont val="Arial"/>
        <family val="0"/>
        <charset val="1"/>
      </rPr>
      <t xml:space="preserve">1. Tên: van chặn lửa 70℃
</t>
    </r>
    <r>
      <rPr>
        <sz val="9"/>
        <rFont val="宋体"/>
        <family val="0"/>
        <charset val="1"/>
      </rPr>
      <t xml:space="preserve">2.</t>
    </r>
    <r>
      <rPr>
        <sz val="9"/>
        <rFont val="WenQuanYi Zen Hei"/>
        <family val="2"/>
      </rPr>
      <t xml:space="preserve">规格</t>
    </r>
    <r>
      <rPr>
        <sz val="9"/>
        <rFont val="宋体"/>
        <family val="0"/>
        <charset val="1"/>
      </rPr>
      <t xml:space="preserve">:1000*800
</t>
    </r>
    <r>
      <rPr>
        <sz val="9"/>
        <color rgb="FF1F4E79"/>
        <rFont val="Arial"/>
        <family val="0"/>
        <charset val="1"/>
      </rPr>
      <t xml:space="preserve">2. Quy cách: 1000*800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</si>
  <si>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:70℃</t>
    </r>
    <r>
      <rPr>
        <sz val="9"/>
        <rFont val="WenQuanYi Zen Hei"/>
        <family val="2"/>
      </rPr>
      <t xml:space="preserve">防火阀
</t>
    </r>
    <r>
      <rPr>
        <sz val="9"/>
        <color rgb="FF1F4E79"/>
        <rFont val="Arial"/>
        <family val="0"/>
        <charset val="1"/>
      </rPr>
      <t xml:space="preserve">1. Tên: van chặn lửa 70℃
</t>
    </r>
    <r>
      <rPr>
        <sz val="9"/>
        <rFont val="宋体"/>
        <family val="0"/>
        <charset val="1"/>
      </rPr>
      <t xml:space="preserve">2.</t>
    </r>
    <r>
      <rPr>
        <sz val="9"/>
        <rFont val="WenQuanYi Zen Hei"/>
        <family val="2"/>
      </rPr>
      <t xml:space="preserve">规格</t>
    </r>
    <r>
      <rPr>
        <sz val="9"/>
        <rFont val="宋体"/>
        <family val="0"/>
        <charset val="1"/>
      </rPr>
      <t xml:space="preserve">:1000*500
</t>
    </r>
    <r>
      <rPr>
        <sz val="9"/>
        <color rgb="FF1F4E79"/>
        <rFont val="Arial"/>
        <family val="0"/>
        <charset val="1"/>
      </rPr>
      <t xml:space="preserve">2. Quy cách: 1000*500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</si>
  <si>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手动对开多叶调节阀
</t>
    </r>
    <r>
      <rPr>
        <sz val="9"/>
        <color rgb="FF1F4E79"/>
        <rFont val="Arial"/>
        <family val="0"/>
        <charset val="1"/>
      </rPr>
      <t xml:space="preserve">Van điều chỉnh gió nhiều lá mở đối xứng bằng tay</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</si>
  <si>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:1600*800
</t>
    </r>
    <r>
      <rPr>
        <sz val="9"/>
        <color rgb="FF1F4E79"/>
        <rFont val="Arial"/>
        <family val="0"/>
        <charset val="1"/>
      </rPr>
      <t xml:space="preserve">2. Quy cách: 1600*800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</si>
  <si>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:1100*800
</t>
    </r>
    <r>
      <rPr>
        <sz val="9"/>
        <color rgb="FF1F4E79"/>
        <rFont val="Arial"/>
        <family val="0"/>
        <charset val="1"/>
      </rPr>
      <t xml:space="preserve">2. Quy cách: 1100*800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</si>
  <si>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:1000*500
</t>
    </r>
    <r>
      <rPr>
        <sz val="9"/>
        <color rgb="FF1F4E79"/>
        <rFont val="Arial"/>
        <family val="0"/>
        <charset val="1"/>
      </rPr>
      <t xml:space="preserve">2. Quy cách: 1000*500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</si>
  <si>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:800*400
</t>
    </r>
    <r>
      <rPr>
        <sz val="9"/>
        <color rgb="FF1F4E79"/>
        <rFont val="Arial"/>
        <family val="0"/>
        <charset val="1"/>
      </rPr>
      <t xml:space="preserve">2. Quy cách: 800*400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</si>
  <si>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:630*320
</t>
    </r>
    <r>
      <rPr>
        <sz val="9"/>
        <color rgb="FF1F4E79"/>
        <rFont val="Arial"/>
        <family val="0"/>
        <charset val="1"/>
      </rPr>
      <t xml:space="preserve">2. Quy cách: 630*320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</si>
  <si>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:500*500
</t>
    </r>
    <r>
      <rPr>
        <sz val="9"/>
        <color rgb="FF1F4E79"/>
        <rFont val="Arial"/>
        <family val="0"/>
        <charset val="1"/>
      </rPr>
      <t xml:space="preserve">2. Quy cách: 500*500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</si>
  <si>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软接头
</t>
    </r>
    <r>
      <rPr>
        <sz val="9"/>
        <color rgb="FF1F4E79"/>
        <rFont val="Arial"/>
        <family val="0"/>
        <charset val="1"/>
      </rPr>
      <t xml:space="preserve">Khớp nối mềm</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</si>
  <si>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软接头
</t>
    </r>
    <r>
      <rPr>
        <sz val="9"/>
        <color rgb="FF1F4E79"/>
        <rFont val="Arial"/>
        <family val="0"/>
        <charset val="1"/>
      </rPr>
      <t xml:space="preserve">1. Tên: khớp nối mềm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帆布
</t>
    </r>
    <r>
      <rPr>
        <sz val="9"/>
        <color rgb="FF1F4E79"/>
        <rFont val="Arial"/>
        <family val="0"/>
        <charset val="1"/>
      </rPr>
      <t xml:space="preserve">2. Vật liệu: vải bạt
</t>
    </r>
    <r>
      <rPr>
        <sz val="9"/>
        <rFont val="宋体"/>
        <family val="0"/>
        <charset val="1"/>
      </rPr>
      <t xml:space="preserve">3.</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3. Khác: phù hợp với yêu cầu của bản vẽ thiết kế và quy phạm thi công</t>
    </r>
  </si>
  <si>
    <r>
      <rPr>
        <sz val="9"/>
        <rFont val="WenQuanYi Zen Hei"/>
        <family val="2"/>
      </rPr>
      <t xml:space="preserve">通风工程检测、调试
</t>
    </r>
    <r>
      <rPr>
        <sz val="9"/>
        <color rgb="FF1F4E79"/>
        <rFont val="Arial"/>
        <family val="0"/>
        <charset val="1"/>
      </rPr>
      <t xml:space="preserve">Kiểm tra, chạy thử công trình thông gió</t>
    </r>
  </si>
  <si>
    <r>
      <rPr>
        <sz val="9"/>
        <rFont val="WenQuanYi Zen Hei"/>
        <family val="2"/>
      </rPr>
      <t xml:space="preserve">空调风工程系统调试
</t>
    </r>
    <r>
      <rPr>
        <sz val="9"/>
        <color rgb="FF1F4E79"/>
        <rFont val="Arial"/>
        <family val="0"/>
        <charset val="1"/>
      </rPr>
      <t xml:space="preserve">Chạy thử hệ thống công trình gió điều hòa</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</si>
  <si>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热镀锌螺旋钢管
</t>
    </r>
    <r>
      <rPr>
        <sz val="9"/>
        <color rgb="FF1F4E79"/>
        <rFont val="Arial"/>
        <family val="0"/>
        <charset val="1"/>
      </rPr>
      <t xml:space="preserve">3. Vật liệu: ống thép xoắn mạ kẽm nhúng nóng
</t>
    </r>
    <r>
      <rPr>
        <sz val="9"/>
        <rFont val="宋体"/>
        <family val="0"/>
        <charset val="1"/>
      </rPr>
      <t xml:space="preserve">4.</t>
    </r>
    <r>
      <rPr>
        <sz val="9"/>
        <rFont val="WenQuanYi Zen Hei"/>
        <family val="2"/>
      </rPr>
      <t xml:space="preserve">规格</t>
    </r>
    <r>
      <rPr>
        <sz val="9"/>
        <rFont val="宋体"/>
        <family val="0"/>
        <charset val="1"/>
      </rPr>
      <t xml:space="preserve">:DN350*7
</t>
    </r>
    <r>
      <rPr>
        <sz val="9"/>
        <color rgb="FF1F4E79"/>
        <rFont val="Arial"/>
        <family val="0"/>
        <charset val="1"/>
      </rPr>
      <t xml:space="preserve">4. Quy cách: DN350*7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δ=50mm
</t>
    </r>
    <r>
      <rPr>
        <sz val="9"/>
        <color rgb="FF1F4E79"/>
        <rFont val="Arial"/>
        <family val="0"/>
        <charset val="1"/>
      </rPr>
      <t xml:space="preserve">8. Lớp bảo ôn: cao su xốp mềm chống cháy (cấp B1) δ=50mm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</si>
  <si>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WenQuanYi Zen Hei"/>
        <family val="2"/>
      </rPr>
      <t xml:space="preserve">钢管：国产优质
</t>
    </r>
    <r>
      <rPr>
        <sz val="9"/>
        <color rgb="FF1F4E79"/>
        <rFont val="Arial"/>
        <family val="0"/>
        <charset val="1"/>
      </rPr>
      <t xml:space="preserve">Ống thép: hàng nội địa chất lượng cao
</t>
    </r>
    <r>
      <rPr>
        <sz val="9"/>
        <rFont val="WenQuanYi Zen Hei"/>
        <family val="2"/>
      </rPr>
      <t xml:space="preserve">保温：</t>
    </r>
    <r>
      <rPr>
        <sz val="9"/>
        <rFont val="宋体"/>
        <family val="0"/>
        <charset val="1"/>
      </rPr>
      <t xml:space="preserve">Ord,</t>
    </r>
    <r>
      <rPr>
        <sz val="9"/>
        <rFont val="WenQuanYi Zen Hei"/>
        <family val="2"/>
      </rPr>
      <t xml:space="preserve">贝柠、华美、派柏士
</t>
    </r>
    <r>
      <rPr>
        <sz val="9"/>
        <color rgb="FF1F4E79"/>
        <rFont val="Arial"/>
        <family val="0"/>
        <charset val="1"/>
      </rPr>
      <t xml:space="preserve">Bảo ôn: Ord, Beining, Huamei, Paibaishi</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</si>
  <si>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:DN300*6.0
</t>
    </r>
    <r>
      <rPr>
        <sz val="9"/>
        <color rgb="FF1F4E79"/>
        <rFont val="Arial"/>
        <family val="0"/>
        <charset val="1"/>
      </rPr>
      <t xml:space="preserve">4. Quy cách: DN300*6.0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δ=50mm
</t>
    </r>
    <r>
      <rPr>
        <sz val="9"/>
        <color rgb="FF1F4E79"/>
        <rFont val="Arial"/>
        <family val="0"/>
        <charset val="1"/>
      </rPr>
      <t xml:space="preserve">8. Lớp bảo ôn: cao su xốp mềm chống cháy (cấp B1) δ=50mm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</si>
  <si>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:DN250*6.0
</t>
    </r>
    <r>
      <rPr>
        <sz val="9"/>
        <color rgb="FF1F4E79"/>
        <rFont val="Arial"/>
        <family val="0"/>
        <charset val="1"/>
      </rPr>
      <t xml:space="preserve">4. Quy cách: DN250*6.0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δ=50mm
</t>
    </r>
    <r>
      <rPr>
        <sz val="9"/>
        <color rgb="FF1F4E79"/>
        <rFont val="Arial"/>
        <family val="0"/>
        <charset val="1"/>
      </rPr>
      <t xml:space="preserve">8. Lớp bảo ôn: cao su xốp mềm chống cháy (cấp B1) δ=50mm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</si>
  <si>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:DN200*6.0
</t>
    </r>
    <r>
      <rPr>
        <sz val="9"/>
        <color rgb="FF1F4E79"/>
        <rFont val="Arial"/>
        <family val="0"/>
        <charset val="1"/>
      </rPr>
      <t xml:space="preserve">4. Quy cách: DN200*6.0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δ=40mm
</t>
    </r>
    <r>
      <rPr>
        <sz val="9"/>
        <color rgb="FF1F4E79"/>
        <rFont val="Arial"/>
        <family val="0"/>
        <charset val="1"/>
      </rPr>
      <t xml:space="preserve">8. Lớp bảo ôn: cao su xốp mềm chống cháy (cấp B1) δ=40mm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</si>
  <si>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:DN150*4.5
</t>
    </r>
    <r>
      <rPr>
        <sz val="9"/>
        <color rgb="FF1F4E79"/>
        <rFont val="Arial"/>
        <family val="0"/>
        <charset val="1"/>
      </rPr>
      <t xml:space="preserve">4. Quy cách: DN150*4.5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δ=40mm
</t>
    </r>
    <r>
      <rPr>
        <sz val="9"/>
        <color rgb="FF1F4E79"/>
        <rFont val="Arial"/>
        <family val="0"/>
        <charset val="1"/>
      </rPr>
      <t xml:space="preserve">8. Lớp bảo ôn: cao su xốp mềm chống cháy (cấp B1) δ=40mm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</si>
  <si>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:DN125*4.25
</t>
    </r>
    <r>
      <rPr>
        <sz val="9"/>
        <color rgb="FF1F4E79"/>
        <rFont val="Arial"/>
        <family val="0"/>
        <charset val="1"/>
      </rPr>
      <t xml:space="preserve">4. Quy cách: DN125*4.25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δ=40mm
</t>
    </r>
    <r>
      <rPr>
        <sz val="9"/>
        <color rgb="FF1F4E79"/>
        <rFont val="Arial"/>
        <family val="0"/>
        <charset val="1"/>
      </rPr>
      <t xml:space="preserve">8. Lớp bảo ôn: cao su xốp mềm chống cháy (cấp B1) δ=40mm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</si>
  <si>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:DN100*4.0
</t>
    </r>
    <r>
      <rPr>
        <sz val="9"/>
        <color rgb="FF1F4E79"/>
        <rFont val="Arial"/>
        <family val="0"/>
        <charset val="1"/>
      </rPr>
      <t xml:space="preserve">4. Quy cách: DN100*4.0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8. Lớp bảo ôn: cao su xốp mềm chống cháy (cấp B1) δ=30mm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</si>
  <si>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:DN80*4.0
</t>
    </r>
    <r>
      <rPr>
        <sz val="9"/>
        <color rgb="FF1F4E79"/>
        <rFont val="Arial"/>
        <family val="0"/>
        <charset val="1"/>
      </rPr>
      <t xml:space="preserve">4. Quy cách: DN80*4.0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8. Lớp bảo ôn: cao su xốp mềm chống cháy (cấp B1) δ=30mm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</si>
  <si>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:DN65*3.75
</t>
    </r>
    <r>
      <rPr>
        <sz val="9"/>
        <color rgb="FF1F4E79"/>
        <rFont val="Arial"/>
        <family val="0"/>
        <charset val="1"/>
      </rPr>
      <t xml:space="preserve">4. Quy cách: DN65*3.75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焊接
</t>
    </r>
    <r>
      <rPr>
        <sz val="9"/>
        <color rgb="FF1F4E79"/>
        <rFont val="Arial"/>
        <family val="0"/>
        <charset val="1"/>
      </rPr>
      <t xml:space="preserve">5. Hình thức kết nối: hàn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8. Lớp bảo ôn: cao su xốp mềm chống cháy (cấp B1) δ=30mm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</si>
  <si>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:DN50*3.5
</t>
    </r>
    <r>
      <rPr>
        <sz val="9"/>
        <color rgb="FF1F4E79"/>
        <rFont val="Arial"/>
        <family val="0"/>
        <charset val="1"/>
      </rPr>
      <t xml:space="preserve">4. Quy cách: DN50*3.5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5. Hình thức kết nối: nối ren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8. Lớp bảo ôn: cao su xốp mềm chống cháy (cấp B1) δ=30mm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</si>
  <si>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:DN40*3.25
</t>
    </r>
    <r>
      <rPr>
        <sz val="9"/>
        <color rgb="FF1F4E79"/>
        <rFont val="Arial"/>
        <family val="0"/>
        <charset val="1"/>
      </rPr>
      <t xml:space="preserve">4. Quy cách: DN40*3.25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5. Hình thức kết nối: nối ren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8. Lớp bảo ôn: cao su xốp mềm chống cháy (cấp B1) δ=30mm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</si>
  <si>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:DN32*3.0
</t>
    </r>
    <r>
      <rPr>
        <sz val="9"/>
        <color rgb="FF1F4E79"/>
        <rFont val="Arial"/>
        <family val="0"/>
        <charset val="1"/>
      </rPr>
      <t xml:space="preserve">4. Quy cách: DN32*3.0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5. Hình thức kết nối: nối ren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δ=30mm
</t>
    </r>
    <r>
      <rPr>
        <sz val="9"/>
        <color rgb="FF1F4E79"/>
        <rFont val="Arial"/>
        <family val="0"/>
        <charset val="1"/>
      </rPr>
      <t xml:space="preserve">8. Lớp bảo ôn: cao su xốp mềm chống cháy (cấp B1) δ=30mm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</si>
  <si>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:DN25*3.0
</t>
    </r>
    <r>
      <rPr>
        <sz val="9"/>
        <color rgb="FF1F4E79"/>
        <rFont val="Arial"/>
        <family val="0"/>
        <charset val="1"/>
      </rPr>
      <t xml:space="preserve">4. Quy cách: DN25*3.0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5. Hình thức kết nối: nối ren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δ=25mm
</t>
    </r>
    <r>
      <rPr>
        <sz val="9"/>
        <color rgb="FF1F4E79"/>
        <rFont val="Arial"/>
        <family val="0"/>
        <charset val="1"/>
      </rPr>
      <t xml:space="preserve">8. Lớp bảo ôn: cao su xốp mềm chống cháy (cấp B1) δ=25mm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</si>
  <si>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宋体"/>
        <family val="0"/>
        <charset val="1"/>
      </rPr>
      <t xml:space="preserve">1.</t>
    </r>
    <r>
      <rPr>
        <sz val="9"/>
        <rFont val="WenQuanYi Zen Hei"/>
        <family val="2"/>
      </rPr>
      <t xml:space="preserve">安装部位</t>
    </r>
    <r>
      <rPr>
        <sz val="9"/>
        <rFont val="宋体"/>
        <family val="0"/>
        <charset val="1"/>
      </rPr>
      <t xml:space="preserve">:</t>
    </r>
    <r>
      <rPr>
        <sz val="9"/>
        <rFont val="WenQuanYi Zen Hei"/>
        <family val="2"/>
      </rPr>
      <t xml:space="preserve">室内
</t>
    </r>
    <r>
      <rPr>
        <sz val="9"/>
        <color rgb="FF1F4E79"/>
        <rFont val="Arial"/>
        <family val="0"/>
        <charset val="1"/>
      </rPr>
      <t xml:space="preserve">1. Vị trí lắp đặt: trong nhà
</t>
    </r>
    <r>
      <rPr>
        <sz val="9"/>
        <rFont val="宋体"/>
        <family val="0"/>
        <charset val="1"/>
      </rPr>
      <t xml:space="preserve">2.</t>
    </r>
    <r>
      <rPr>
        <sz val="9"/>
        <rFont val="WenQuanYi Zen Hei"/>
        <family val="2"/>
      </rPr>
      <t xml:space="preserve">介质</t>
    </r>
    <r>
      <rPr>
        <sz val="9"/>
        <rFont val="宋体"/>
        <family val="0"/>
        <charset val="1"/>
      </rPr>
      <t xml:space="preserve">:</t>
    </r>
    <r>
      <rPr>
        <sz val="9"/>
        <rFont val="WenQuanYi Zen Hei"/>
        <family val="2"/>
      </rPr>
      <t xml:space="preserve">冷冻水
</t>
    </r>
    <r>
      <rPr>
        <sz val="9"/>
        <color rgb="FF1F4E79"/>
        <rFont val="Arial"/>
        <family val="0"/>
        <charset val="1"/>
      </rPr>
      <t xml:space="preserve">2. Môi chất: nước lạnh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热镀锌钢管
</t>
    </r>
    <r>
      <rPr>
        <sz val="9"/>
        <color rgb="FF1F4E79"/>
        <rFont val="Arial"/>
        <family val="0"/>
        <charset val="1"/>
      </rPr>
      <t xml:space="preserve">3. Vật liệu: ống thép mạ kẽm nhúng nóng
</t>
    </r>
    <r>
      <rPr>
        <sz val="9"/>
        <rFont val="宋体"/>
        <family val="0"/>
        <charset val="1"/>
      </rPr>
      <t xml:space="preserve">4.</t>
    </r>
    <r>
      <rPr>
        <sz val="9"/>
        <rFont val="WenQuanYi Zen Hei"/>
        <family val="2"/>
      </rPr>
      <t xml:space="preserve">规格</t>
    </r>
    <r>
      <rPr>
        <sz val="9"/>
        <rFont val="宋体"/>
        <family val="0"/>
        <charset val="1"/>
      </rPr>
      <t xml:space="preserve">:DN20*2.75
</t>
    </r>
    <r>
      <rPr>
        <sz val="9"/>
        <color rgb="FF1F4E79"/>
        <rFont val="Arial"/>
        <family val="0"/>
        <charset val="1"/>
      </rPr>
      <t xml:space="preserve">4. Quy cách: DN20*2.75
</t>
    </r>
    <r>
      <rPr>
        <sz val="9"/>
        <rFont val="宋体"/>
        <family val="0"/>
        <charset val="1"/>
      </rPr>
      <t xml:space="preserve">5.</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5. Hình thức kết nối: nối ren
</t>
    </r>
    <r>
      <rPr>
        <sz val="9"/>
        <rFont val="宋体"/>
        <family val="0"/>
        <charset val="1"/>
      </rPr>
      <t xml:space="preserve">6.</t>
    </r>
    <r>
      <rPr>
        <sz val="9"/>
        <rFont val="WenQuanYi Zen Hei"/>
        <family val="2"/>
      </rPr>
      <t xml:space="preserve">压力试验及吹、洗设计要求</t>
    </r>
    <r>
      <rPr>
        <sz val="9"/>
        <rFont val="宋体"/>
        <family val="0"/>
        <charset val="1"/>
      </rPr>
      <t xml:space="preserve">:</t>
    </r>
    <r>
      <rPr>
        <sz val="9"/>
        <rFont val="WenQuanYi Zen Hei"/>
        <family val="2"/>
      </rPr>
      <t xml:space="preserve">按设计规范要求
</t>
    </r>
    <r>
      <rPr>
        <sz val="9"/>
        <color rgb="FF1F4E79"/>
        <rFont val="Arial"/>
        <family val="0"/>
        <charset val="1"/>
      </rPr>
      <t xml:space="preserve">6. Yêu cầu thiết kế về thử áp lực và thổi, rửa: theo yêu cầu quy phạm thiết kế
</t>
    </r>
    <r>
      <rPr>
        <sz val="9"/>
        <rFont val="宋体"/>
        <family val="0"/>
        <charset val="1"/>
      </rPr>
      <t xml:space="preserve">7.</t>
    </r>
    <r>
      <rPr>
        <sz val="9"/>
        <rFont val="WenQuanYi Zen Hei"/>
        <family val="2"/>
      </rPr>
      <t xml:space="preserve">防腐</t>
    </r>
    <r>
      <rPr>
        <sz val="9"/>
        <rFont val="宋体"/>
        <family val="0"/>
        <charset val="1"/>
      </rPr>
      <t xml:space="preserve">:</t>
    </r>
    <r>
      <rPr>
        <sz val="9"/>
        <rFont val="WenQuanYi Zen Hei"/>
        <family val="2"/>
      </rPr>
      <t xml:space="preserve">防锈漆二道
</t>
    </r>
    <r>
      <rPr>
        <sz val="9"/>
        <color rgb="FF1F4E79"/>
        <rFont val="Arial"/>
        <family val="0"/>
        <charset val="1"/>
      </rPr>
      <t xml:space="preserve">7. Chống ăn mòn: sơn chống gỉ hai lớp
</t>
    </r>
    <r>
      <rPr>
        <sz val="9"/>
        <rFont val="宋体"/>
        <family val="0"/>
        <charset val="1"/>
      </rPr>
      <t xml:space="preserve">8.</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δ=25mm
</t>
    </r>
    <r>
      <rPr>
        <sz val="9"/>
        <color rgb="FF1F4E79"/>
        <rFont val="Arial"/>
        <family val="0"/>
        <charset val="1"/>
      </rPr>
      <t xml:space="preserve">8. Lớp bảo ôn: cao su xốp mềm chống cháy (cấp B1) δ=25mm
</t>
    </r>
    <r>
      <rPr>
        <sz val="9"/>
        <rFont val="宋体"/>
        <family val="0"/>
        <charset val="1"/>
      </rPr>
      <t xml:space="preserve">9.</t>
    </r>
    <r>
      <rPr>
        <sz val="9"/>
        <rFont val="WenQuanYi Zen Hei"/>
        <family val="2"/>
      </rPr>
      <t xml:space="preserve">含连接管件
</t>
    </r>
    <r>
      <rPr>
        <sz val="9"/>
        <color rgb="FF1F4E79"/>
        <rFont val="Arial"/>
        <family val="0"/>
        <charset val="1"/>
      </rPr>
      <t xml:space="preserve">9. Bao gồm phụ kiện nối ống
</t>
    </r>
    <r>
      <rPr>
        <sz val="9"/>
        <rFont val="宋体"/>
        <family val="0"/>
        <charset val="1"/>
      </rPr>
      <t xml:space="preserve">10.</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10. Khác: phù hợp với yêu cầu của bản vẽ thiết kế và quy phạm thi công</t>
    </r>
  </si>
  <si>
    <r>
      <rPr>
        <sz val="9"/>
        <rFont val="WenQuanYi Zen Hei"/>
        <family val="2"/>
      </rPr>
      <t xml:space="preserve">排水管（恒温恒湿空调系统排水）
</t>
    </r>
    <r>
      <rPr>
        <sz val="9"/>
        <color rgb="FF1F4E79"/>
        <rFont val="Arial"/>
        <family val="0"/>
        <charset val="1"/>
      </rPr>
      <t xml:space="preserve">Ống thoát nước (thoát nước của hệ thống điều hòa nhiệt độ ổn định, độ ẩm ổn định)</t>
    </r>
  </si>
  <si>
    <r>
      <rPr>
        <sz val="9"/>
        <rFont val="宋体"/>
        <family val="0"/>
        <charset val="1"/>
      </rPr>
      <t xml:space="preserve">1.</t>
    </r>
    <r>
      <rPr>
        <sz val="9"/>
        <rFont val="WenQuanYi Zen Hei"/>
        <family val="2"/>
      </rPr>
      <t xml:space="preserve">材质</t>
    </r>
    <r>
      <rPr>
        <sz val="9"/>
        <rFont val="宋体"/>
        <family val="0"/>
        <charset val="1"/>
      </rPr>
      <t xml:space="preserve">:PPR</t>
    </r>
    <r>
      <rPr>
        <sz val="9"/>
        <rFont val="WenQuanYi Zen Hei"/>
        <family val="2"/>
      </rPr>
      <t xml:space="preserve">热水管
</t>
    </r>
    <r>
      <rPr>
        <sz val="9"/>
        <color rgb="FF1F4E79"/>
        <rFont val="Arial"/>
        <family val="0"/>
        <charset val="1"/>
      </rPr>
      <t xml:space="preserve">1. Vật liệu: ống nước nóng PPR
</t>
    </r>
    <r>
      <rPr>
        <sz val="9"/>
        <rFont val="宋体"/>
        <family val="0"/>
        <charset val="1"/>
      </rPr>
      <t xml:space="preserve">2.</t>
    </r>
    <r>
      <rPr>
        <sz val="9"/>
        <rFont val="WenQuanYi Zen Hei"/>
        <family val="2"/>
      </rPr>
      <t xml:space="preserve">规格</t>
    </r>
    <r>
      <rPr>
        <sz val="9"/>
        <rFont val="宋体"/>
        <family val="0"/>
        <charset val="1"/>
      </rPr>
      <t xml:space="preserve">:De110
</t>
    </r>
    <r>
      <rPr>
        <sz val="9"/>
        <color rgb="FF1F4E79"/>
        <rFont val="Arial"/>
        <family val="0"/>
        <charset val="1"/>
      </rPr>
      <t xml:space="preserve">2. Quy cách: De110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δ=20mm
</t>
    </r>
    <r>
      <rPr>
        <sz val="9"/>
        <color rgb="FF1F4E79"/>
        <rFont val="Arial"/>
        <family val="0"/>
        <charset val="1"/>
      </rPr>
      <t xml:space="preserve">4. Lớp bảo ôn: cao su xốp mềm chống cháy (cấp B1) δ=20mm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</si>
  <si>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PVC</t>
    </r>
    <r>
      <rPr>
        <sz val="9"/>
        <rFont val="WenQuanYi Zen Hei"/>
        <family val="2"/>
      </rPr>
      <t xml:space="preserve">管：联塑、日丰
</t>
    </r>
    <r>
      <rPr>
        <sz val="9"/>
        <color rgb="FF1F4E79"/>
        <rFont val="Arial"/>
        <family val="0"/>
        <charset val="1"/>
      </rPr>
      <t xml:space="preserve">Ống PVC: Lesso, Rifeng
</t>
    </r>
    <r>
      <rPr>
        <sz val="9"/>
        <rFont val="WenQuanYi Zen Hei"/>
        <family val="2"/>
      </rPr>
      <t xml:space="preserve">保温：</t>
    </r>
    <r>
      <rPr>
        <sz val="9"/>
        <rFont val="宋体"/>
        <family val="0"/>
        <charset val="1"/>
      </rPr>
      <t xml:space="preserve">Ord,</t>
    </r>
    <r>
      <rPr>
        <sz val="9"/>
        <rFont val="WenQuanYi Zen Hei"/>
        <family val="2"/>
      </rPr>
      <t xml:space="preserve">贝柠、华美、派柏士
</t>
    </r>
    <r>
      <rPr>
        <sz val="9"/>
        <color rgb="FF1F4E79"/>
        <rFont val="Arial"/>
        <family val="0"/>
        <charset val="1"/>
      </rPr>
      <t xml:space="preserve">Bảo ôn: Ord, Beining, Huamei, Paibaishi</t>
    </r>
  </si>
  <si>
    <r>
      <rPr>
        <sz val="9"/>
        <rFont val="宋体"/>
        <family val="0"/>
        <charset val="1"/>
      </rPr>
      <t xml:space="preserve">1.</t>
    </r>
    <r>
      <rPr>
        <sz val="9"/>
        <rFont val="WenQuanYi Zen Hei"/>
        <family val="2"/>
      </rPr>
      <t xml:space="preserve">材质</t>
    </r>
    <r>
      <rPr>
        <sz val="9"/>
        <rFont val="宋体"/>
        <family val="0"/>
        <charset val="1"/>
      </rPr>
      <t xml:space="preserve">:PPR</t>
    </r>
    <r>
      <rPr>
        <sz val="9"/>
        <rFont val="WenQuanYi Zen Hei"/>
        <family val="2"/>
      </rPr>
      <t xml:space="preserve">热水管
</t>
    </r>
    <r>
      <rPr>
        <sz val="9"/>
        <color rgb="FF1F4E79"/>
        <rFont val="Arial"/>
        <family val="0"/>
        <charset val="1"/>
      </rPr>
      <t xml:space="preserve">1. Vật liệu: ống nước nóng PPR
</t>
    </r>
    <r>
      <rPr>
        <sz val="9"/>
        <rFont val="宋体"/>
        <family val="0"/>
        <charset val="1"/>
      </rPr>
      <t xml:space="preserve">2.</t>
    </r>
    <r>
      <rPr>
        <sz val="9"/>
        <rFont val="WenQuanYi Zen Hei"/>
        <family val="2"/>
      </rPr>
      <t xml:space="preserve">规格</t>
    </r>
    <r>
      <rPr>
        <sz val="9"/>
        <rFont val="宋体"/>
        <family val="0"/>
        <charset val="1"/>
      </rPr>
      <t xml:space="preserve">:De75
</t>
    </r>
    <r>
      <rPr>
        <sz val="9"/>
        <color rgb="FF1F4E79"/>
        <rFont val="Arial"/>
        <family val="0"/>
        <charset val="1"/>
      </rPr>
      <t xml:space="preserve">2. Quy cách: De75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δ=20mm
</t>
    </r>
    <r>
      <rPr>
        <sz val="9"/>
        <color rgb="FF1F4E79"/>
        <rFont val="Arial"/>
        <family val="0"/>
        <charset val="1"/>
      </rPr>
      <t xml:space="preserve">4. Lớp bảo ôn: cao su xốp mềm chống cháy (cấp B1) δ=20mm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</si>
  <si>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:PPR</t>
    </r>
    <r>
      <rPr>
        <sz val="9"/>
        <rFont val="WenQuanYi Zen Hei"/>
        <family val="2"/>
      </rPr>
      <t xml:space="preserve">热水管
</t>
    </r>
    <r>
      <rPr>
        <sz val="9"/>
        <color rgb="FF1F4E79"/>
        <rFont val="Arial"/>
        <family val="0"/>
        <charset val="1"/>
      </rPr>
      <t xml:space="preserve">1. Vật liệu: ống nước nóng PPR
</t>
    </r>
    <r>
      <rPr>
        <sz val="9"/>
        <rFont val="宋体"/>
        <family val="0"/>
        <charset val="1"/>
      </rPr>
      <t xml:space="preserve">2.</t>
    </r>
    <r>
      <rPr>
        <sz val="9"/>
        <rFont val="WenQuanYi Zen Hei"/>
        <family val="2"/>
      </rPr>
      <t xml:space="preserve">规格</t>
    </r>
    <r>
      <rPr>
        <sz val="9"/>
        <rFont val="宋体"/>
        <family val="0"/>
        <charset val="1"/>
      </rPr>
      <t xml:space="preserve">:De63
</t>
    </r>
    <r>
      <rPr>
        <sz val="9"/>
        <color rgb="FF1F4E79"/>
        <rFont val="Arial"/>
        <family val="0"/>
        <charset val="1"/>
      </rPr>
      <t xml:space="preserve">2. Quy cách: De63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δ=15mm
</t>
    </r>
    <r>
      <rPr>
        <sz val="9"/>
        <color rgb="FF1F4E79"/>
        <rFont val="Arial"/>
        <family val="0"/>
        <charset val="1"/>
      </rPr>
      <t xml:space="preserve">4. Lớp bảo ôn: cao su xốp mềm chống cháy (cấp B1) δ=15mm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</si>
  <si>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:PPR</t>
    </r>
    <r>
      <rPr>
        <sz val="9"/>
        <rFont val="WenQuanYi Zen Hei"/>
        <family val="2"/>
      </rPr>
      <t xml:space="preserve">热水管
</t>
    </r>
    <r>
      <rPr>
        <sz val="9"/>
        <color rgb="FF1F4E79"/>
        <rFont val="Arial"/>
        <family val="0"/>
        <charset val="1"/>
      </rPr>
      <t xml:space="preserve">1. Vật liệu: ống nước nóng PPR
</t>
    </r>
    <r>
      <rPr>
        <sz val="9"/>
        <rFont val="宋体"/>
        <family val="0"/>
        <charset val="1"/>
      </rPr>
      <t xml:space="preserve">2.</t>
    </r>
    <r>
      <rPr>
        <sz val="9"/>
        <rFont val="WenQuanYi Zen Hei"/>
        <family val="2"/>
      </rPr>
      <t xml:space="preserve">规格</t>
    </r>
    <r>
      <rPr>
        <sz val="9"/>
        <rFont val="宋体"/>
        <family val="0"/>
        <charset val="1"/>
      </rPr>
      <t xml:space="preserve">:De50
</t>
    </r>
    <r>
      <rPr>
        <sz val="9"/>
        <color rgb="FF1F4E79"/>
        <rFont val="Arial"/>
        <family val="0"/>
        <charset val="1"/>
      </rPr>
      <t xml:space="preserve">2. Quy cách: De50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δ=15mm
</t>
    </r>
    <r>
      <rPr>
        <sz val="9"/>
        <color rgb="FF1F4E79"/>
        <rFont val="Arial"/>
        <family val="0"/>
        <charset val="1"/>
      </rPr>
      <t xml:space="preserve">4. Lớp bảo ôn: cao su xốp mềm chống cháy (cấp B1) δ=15mm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</si>
  <si>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:PPR</t>
    </r>
    <r>
      <rPr>
        <sz val="9"/>
        <rFont val="WenQuanYi Zen Hei"/>
        <family val="2"/>
      </rPr>
      <t xml:space="preserve">热水管
</t>
    </r>
    <r>
      <rPr>
        <sz val="9"/>
        <color rgb="FF1F4E79"/>
        <rFont val="Arial"/>
        <family val="0"/>
        <charset val="1"/>
      </rPr>
      <t xml:space="preserve">1. Vật liệu: ống nước nóng PPR
</t>
    </r>
    <r>
      <rPr>
        <sz val="9"/>
        <rFont val="宋体"/>
        <family val="0"/>
        <charset val="1"/>
      </rPr>
      <t xml:space="preserve">2.</t>
    </r>
    <r>
      <rPr>
        <sz val="9"/>
        <rFont val="WenQuanYi Zen Hei"/>
        <family val="2"/>
      </rPr>
      <t xml:space="preserve">规格</t>
    </r>
    <r>
      <rPr>
        <sz val="9"/>
        <rFont val="宋体"/>
        <family val="0"/>
        <charset val="1"/>
      </rPr>
      <t xml:space="preserve">:De40
</t>
    </r>
    <r>
      <rPr>
        <sz val="9"/>
        <color rgb="FF1F4E79"/>
        <rFont val="Arial"/>
        <family val="0"/>
        <charset val="1"/>
      </rPr>
      <t xml:space="preserve">2. Quy cách: De40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δ=15mm
</t>
    </r>
    <r>
      <rPr>
        <sz val="9"/>
        <color rgb="FF1F4E79"/>
        <rFont val="Arial"/>
        <family val="0"/>
        <charset val="1"/>
      </rPr>
      <t xml:space="preserve">4. Lớp bảo ôn: cao su xốp mềm chống cháy (cấp B1) δ=15mm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</si>
  <si>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WenQuanYi Zen Hei"/>
        <family val="2"/>
      </rPr>
      <t xml:space="preserve">冷凝水排水管
</t>
    </r>
    <r>
      <rPr>
        <sz val="9"/>
        <color rgb="FF1F4E79"/>
        <rFont val="Arial"/>
        <family val="0"/>
        <charset val="1"/>
      </rPr>
      <t xml:space="preserve">Ống thoát nước ngưng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</si>
  <si>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:De160
</t>
    </r>
    <r>
      <rPr>
        <sz val="9"/>
        <color rgb="FF1F4E79"/>
        <rFont val="Arial"/>
        <family val="0"/>
        <charset val="1"/>
      </rPr>
      <t xml:space="preserve">2. Quy cách: De160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δ=20mm
</t>
    </r>
    <r>
      <rPr>
        <sz val="9"/>
        <color rgb="FF1F4E79"/>
        <rFont val="Arial"/>
        <family val="0"/>
        <charset val="1"/>
      </rPr>
      <t xml:space="preserve">4. Lớp bảo ôn: cao su xốp mềm chống cháy (cấp B1) δ=20mm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</si>
  <si>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:De110
</t>
    </r>
    <r>
      <rPr>
        <sz val="9"/>
        <color rgb="FF1F4E79"/>
        <rFont val="Arial"/>
        <family val="0"/>
        <charset val="1"/>
      </rPr>
      <t xml:space="preserve">2. Quy cách: De110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δ=20mm
</t>
    </r>
    <r>
      <rPr>
        <sz val="9"/>
        <color rgb="FF1F4E79"/>
        <rFont val="Arial"/>
        <family val="0"/>
        <charset val="1"/>
      </rPr>
      <t xml:space="preserve">4. Lớp bảo ôn: cao su xốp mềm chống cháy (cấp B1) δ=20mm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</si>
  <si>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:De75
</t>
    </r>
    <r>
      <rPr>
        <sz val="9"/>
        <color rgb="FF1F4E79"/>
        <rFont val="Arial"/>
        <family val="0"/>
        <charset val="1"/>
      </rPr>
      <t xml:space="preserve">2. Quy cách: De75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δ=20mm
</t>
    </r>
    <r>
      <rPr>
        <sz val="9"/>
        <color rgb="FF1F4E79"/>
        <rFont val="Arial"/>
        <family val="0"/>
        <charset val="1"/>
      </rPr>
      <t xml:space="preserve">4. Lớp bảo ôn: cao su xốp mềm chống cháy (cấp B1) δ=20mm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</si>
  <si>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:De63
</t>
    </r>
    <r>
      <rPr>
        <sz val="9"/>
        <color rgb="FF1F4E79"/>
        <rFont val="Arial"/>
        <family val="0"/>
        <charset val="1"/>
      </rPr>
      <t xml:space="preserve">2. Quy cách: De63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δ=20mm
</t>
    </r>
    <r>
      <rPr>
        <sz val="9"/>
        <color rgb="FF1F4E79"/>
        <rFont val="Arial"/>
        <family val="0"/>
        <charset val="1"/>
      </rPr>
      <t xml:space="preserve">4. Lớp bảo ôn: cao su xốp mềm chống cháy (cấp B1) δ=20mm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</si>
  <si>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:De40
</t>
    </r>
    <r>
      <rPr>
        <sz val="9"/>
        <color rgb="FF1F4E79"/>
        <rFont val="Arial"/>
        <family val="0"/>
        <charset val="1"/>
      </rPr>
      <t xml:space="preserve">2. Quy cách: De40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δ=15mm
</t>
    </r>
    <r>
      <rPr>
        <sz val="9"/>
        <color rgb="FF1F4E79"/>
        <rFont val="Arial"/>
        <family val="0"/>
        <charset val="1"/>
      </rPr>
      <t xml:space="preserve">4. Lớp bảo ôn: cao su xốp mềm chống cháy (cấp B1) δ=15mm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</si>
  <si>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:De32
</t>
    </r>
    <r>
      <rPr>
        <sz val="9"/>
        <color rgb="FF1F4E79"/>
        <rFont val="Arial"/>
        <family val="0"/>
        <charset val="1"/>
      </rPr>
      <t xml:space="preserve">2. Quy cách: De32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δ=15mm
</t>
    </r>
    <r>
      <rPr>
        <sz val="9"/>
        <color rgb="FF1F4E79"/>
        <rFont val="Arial"/>
        <family val="0"/>
        <charset val="1"/>
      </rPr>
      <t xml:space="preserve">4. Lớp bảo ôn: cao su xốp mềm chống cháy (cấp B1) δ=15mm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</si>
  <si>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宋体"/>
        <family val="0"/>
        <charset val="1"/>
      </rPr>
      <t xml:space="preserve">1.</t>
    </r>
    <r>
      <rPr>
        <sz val="9"/>
        <rFont val="WenQuanYi Zen Hei"/>
        <family val="2"/>
      </rPr>
      <t xml:space="preserve">材质</t>
    </r>
    <r>
      <rPr>
        <sz val="9"/>
        <rFont val="宋体"/>
        <family val="0"/>
        <charset val="1"/>
      </rPr>
      <t xml:space="preserve">:PVC</t>
    </r>
    <r>
      <rPr>
        <sz val="9"/>
        <rFont val="WenQuanYi Zen Hei"/>
        <family val="2"/>
      </rPr>
      <t xml:space="preserve">给水管
</t>
    </r>
    <r>
      <rPr>
        <sz val="9"/>
        <color rgb="FF1F4E79"/>
        <rFont val="Arial"/>
        <family val="0"/>
        <charset val="1"/>
      </rPr>
      <t xml:space="preserve">1. Vật liệu: ống cấp nước PVC
</t>
    </r>
    <r>
      <rPr>
        <sz val="9"/>
        <rFont val="宋体"/>
        <family val="0"/>
        <charset val="1"/>
      </rPr>
      <t xml:space="preserve">2.</t>
    </r>
    <r>
      <rPr>
        <sz val="9"/>
        <rFont val="WenQuanYi Zen Hei"/>
        <family val="2"/>
      </rPr>
      <t xml:space="preserve">规格</t>
    </r>
    <r>
      <rPr>
        <sz val="9"/>
        <rFont val="宋体"/>
        <family val="0"/>
        <charset val="1"/>
      </rPr>
      <t xml:space="preserve">:De25
</t>
    </r>
    <r>
      <rPr>
        <sz val="9"/>
        <color rgb="FF1F4E79"/>
        <rFont val="Arial"/>
        <family val="0"/>
        <charset val="1"/>
      </rPr>
      <t xml:space="preserve">2. Quy cách: De25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粘接
</t>
    </r>
    <r>
      <rPr>
        <sz val="9"/>
        <color rgb="FF1F4E79"/>
        <rFont val="Arial"/>
        <family val="0"/>
        <charset val="1"/>
      </rPr>
      <t xml:space="preserve">3. Hình thức kết nối: dán keo
</t>
    </r>
    <r>
      <rPr>
        <sz val="9"/>
        <rFont val="宋体"/>
        <family val="0"/>
        <charset val="1"/>
      </rPr>
      <t xml:space="preserve">4.</t>
    </r>
    <r>
      <rPr>
        <sz val="9"/>
        <rFont val="WenQuanYi Zen Hei"/>
        <family val="2"/>
      </rPr>
      <t xml:space="preserve">保温层</t>
    </r>
    <r>
      <rPr>
        <sz val="9"/>
        <rFont val="宋体"/>
        <family val="0"/>
        <charset val="1"/>
      </rPr>
      <t xml:space="preserve">:</t>
    </r>
    <r>
      <rPr>
        <sz val="9"/>
        <rFont val="WenQuanYi Zen Hei"/>
        <family val="2"/>
      </rPr>
      <t xml:space="preserve">难燃</t>
    </r>
    <r>
      <rPr>
        <sz val="9"/>
        <rFont val="宋体"/>
        <family val="0"/>
        <charset val="1"/>
      </rPr>
      <t xml:space="preserve">(B1</t>
    </r>
    <r>
      <rPr>
        <sz val="9"/>
        <rFont val="WenQuanYi Zen Hei"/>
        <family val="2"/>
      </rPr>
      <t xml:space="preserve">级</t>
    </r>
    <r>
      <rPr>
        <sz val="9"/>
        <rFont val="宋体"/>
        <family val="0"/>
        <charset val="1"/>
      </rPr>
      <t xml:space="preserve">)</t>
    </r>
    <r>
      <rPr>
        <sz val="9"/>
        <rFont val="WenQuanYi Zen Hei"/>
        <family val="2"/>
      </rPr>
      <t xml:space="preserve">柔性泡沫橡塑</t>
    </r>
    <r>
      <rPr>
        <sz val="9"/>
        <rFont val="宋体"/>
        <family val="0"/>
        <charset val="1"/>
      </rPr>
      <t xml:space="preserve">δ=15mm
</t>
    </r>
    <r>
      <rPr>
        <sz val="9"/>
        <color rgb="FF1F4E79"/>
        <rFont val="Arial"/>
        <family val="0"/>
        <charset val="1"/>
      </rPr>
      <t xml:space="preserve">4. Lớp bảo ôn: cao su xốp mềm chống cháy (cấp B1) δ=15mm
</t>
    </r>
    <r>
      <rPr>
        <sz val="9"/>
        <rFont val="宋体"/>
        <family val="0"/>
        <charset val="1"/>
      </rPr>
      <t xml:space="preserve">5.</t>
    </r>
    <r>
      <rPr>
        <sz val="9"/>
        <rFont val="WenQuanYi Zen Hei"/>
        <family val="2"/>
      </rPr>
      <t xml:space="preserve">含连接管件
</t>
    </r>
    <r>
      <rPr>
        <sz val="9"/>
        <color rgb="FF1F4E79"/>
        <rFont val="Arial"/>
        <family val="0"/>
        <charset val="1"/>
      </rPr>
      <t xml:space="preserve">5. Bao gồm phụ kiện nối ống
</t>
    </r>
    <r>
      <rPr>
        <sz val="9"/>
        <rFont val="宋体"/>
        <family val="0"/>
        <charset val="1"/>
      </rPr>
      <t xml:space="preserve">6.</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6. Khác: phù hợp với yêu cầu của bản vẽ thiết kế và quy phạm thi công</t>
    </r>
  </si>
  <si>
    <r>
      <rPr>
        <sz val="9"/>
        <rFont val="WenQuanYi Zen Hei"/>
        <family val="2"/>
      </rPr>
      <t xml:space="preserve">比例积分调节阀
</t>
    </r>
    <r>
      <rPr>
        <sz val="9"/>
        <color rgb="FF1F4E79"/>
        <rFont val="Arial"/>
        <family val="0"/>
        <charset val="1"/>
      </rPr>
      <t xml:space="preserve">Van điều chỉnh tỷ lệ tích phân (PI)</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</si>
  <si>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比例积分调节阀
</t>
    </r>
    <r>
      <rPr>
        <sz val="9"/>
        <color rgb="FF1F4E79"/>
        <rFont val="Arial"/>
        <family val="0"/>
        <charset val="1"/>
      </rPr>
      <t xml:space="preserve">1. Loại: van điều chỉnh tỷ lệ tích phân (PI)
</t>
    </r>
    <r>
      <rPr>
        <sz val="9"/>
        <rFont val="宋体"/>
        <family val="0"/>
        <charset val="1"/>
      </rPr>
      <t xml:space="preserve">2.</t>
    </r>
    <r>
      <rPr>
        <sz val="9"/>
        <rFont val="WenQuanYi Zen Hei"/>
        <family val="2"/>
      </rPr>
      <t xml:space="preserve">规格</t>
    </r>
    <r>
      <rPr>
        <sz val="9"/>
        <rFont val="宋体"/>
        <family val="0"/>
        <charset val="1"/>
      </rPr>
      <t xml:space="preserve">:DN100
</t>
    </r>
    <r>
      <rPr>
        <sz val="9"/>
        <color rgb="FF1F4E79"/>
        <rFont val="Arial"/>
        <family val="0"/>
        <charset val="1"/>
      </rPr>
      <t xml:space="preserve">2. Quy cách: DN100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3. Hình thức kết nối: nối mặt bích                     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</si>
  <si>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比例积分调节阀
</t>
    </r>
    <r>
      <rPr>
        <sz val="9"/>
        <color rgb="FF1F4E79"/>
        <rFont val="Arial"/>
        <family val="0"/>
        <charset val="1"/>
      </rPr>
      <t xml:space="preserve">1. Loại: van điều chỉnh tỷ lệ tích phân (PI)
</t>
    </r>
    <r>
      <rPr>
        <sz val="9"/>
        <rFont val="宋体"/>
        <family val="0"/>
        <charset val="1"/>
      </rPr>
      <t xml:space="preserve">2.</t>
    </r>
    <r>
      <rPr>
        <sz val="9"/>
        <rFont val="WenQuanYi Zen Hei"/>
        <family val="2"/>
      </rPr>
      <t xml:space="preserve">规格</t>
    </r>
    <r>
      <rPr>
        <sz val="9"/>
        <rFont val="宋体"/>
        <family val="0"/>
        <charset val="1"/>
      </rPr>
      <t xml:space="preserve">:DN65
</t>
    </r>
    <r>
      <rPr>
        <sz val="9"/>
        <color rgb="FF1F4E79"/>
        <rFont val="Arial"/>
        <family val="0"/>
        <charset val="1"/>
      </rPr>
      <t xml:space="preserve">2. Quy cách: DN65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3. Hình thức kết nối: nối mặt bích                     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</si>
  <si>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比例积分调节阀
</t>
    </r>
    <r>
      <rPr>
        <sz val="9"/>
        <color rgb="FF1F4E79"/>
        <rFont val="Arial"/>
        <family val="0"/>
        <charset val="1"/>
      </rPr>
      <t xml:space="preserve">1. Loại: van điều chỉnh tỷ lệ tích phân (PI)
</t>
    </r>
    <r>
      <rPr>
        <sz val="9"/>
        <rFont val="宋体"/>
        <family val="0"/>
        <charset val="1"/>
      </rPr>
      <t xml:space="preserve">2.</t>
    </r>
    <r>
      <rPr>
        <sz val="9"/>
        <rFont val="WenQuanYi Zen Hei"/>
        <family val="2"/>
      </rPr>
      <t xml:space="preserve">规格</t>
    </r>
    <r>
      <rPr>
        <sz val="9"/>
        <rFont val="宋体"/>
        <family val="0"/>
        <charset val="1"/>
      </rPr>
      <t xml:space="preserve">:DN50
</t>
    </r>
    <r>
      <rPr>
        <sz val="9"/>
        <color rgb="FF1F4E79"/>
        <rFont val="Arial"/>
        <family val="0"/>
        <charset val="1"/>
      </rPr>
      <t xml:space="preserve">2. Quy cách: DN50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3. Hình thức kết nối: nối ren                     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</si>
  <si>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:DN65
</t>
    </r>
    <r>
      <rPr>
        <sz val="9"/>
        <color rgb="FF1F4E79"/>
        <rFont val="Arial"/>
        <family val="0"/>
        <charset val="1"/>
      </rPr>
      <t xml:space="preserve">2. Quy cách: DN65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</si>
  <si>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Y</t>
    </r>
    <r>
      <rPr>
        <sz val="9"/>
        <rFont val="WenQuanYi Zen Hei"/>
        <family val="2"/>
      </rPr>
      <t xml:space="preserve">型过滤器
</t>
    </r>
    <r>
      <rPr>
        <sz val="9"/>
        <color rgb="FF1F4E79"/>
        <rFont val="Arial"/>
        <family val="0"/>
        <charset val="1"/>
      </rPr>
      <t xml:space="preserve">Bộ lọc chữ Y</t>
    </r>
  </si>
  <si>
    <r>
      <rPr>
        <sz val="9"/>
        <rFont val="宋体"/>
        <family val="0"/>
        <charset val="1"/>
      </rPr>
      <t xml:space="preserve">1.</t>
    </r>
    <r>
      <rPr>
        <sz val="9"/>
        <rFont val="WenQuanYi Zen Hei"/>
        <family val="2"/>
      </rPr>
      <t xml:space="preserve">类型</t>
    </r>
    <r>
      <rPr>
        <sz val="9"/>
        <rFont val="宋体"/>
        <family val="0"/>
        <charset val="1"/>
      </rPr>
      <t xml:space="preserve">:Y</t>
    </r>
    <r>
      <rPr>
        <sz val="9"/>
        <rFont val="WenQuanYi Zen Hei"/>
        <family val="2"/>
      </rPr>
      <t xml:space="preserve">型过滤器
</t>
    </r>
    <r>
      <rPr>
        <sz val="9"/>
        <color rgb="FF1F4E79"/>
        <rFont val="Arial"/>
        <family val="0"/>
        <charset val="1"/>
      </rPr>
      <t xml:space="preserve">1. Loại: bộ lọc chữ Y
</t>
    </r>
    <r>
      <rPr>
        <sz val="9"/>
        <rFont val="宋体"/>
        <family val="0"/>
        <charset val="1"/>
      </rPr>
      <t xml:space="preserve">2.</t>
    </r>
    <r>
      <rPr>
        <sz val="9"/>
        <rFont val="WenQuanYi Zen Hei"/>
        <family val="2"/>
      </rPr>
      <t xml:space="preserve">规格</t>
    </r>
    <r>
      <rPr>
        <sz val="9"/>
        <rFont val="宋体"/>
        <family val="0"/>
        <charset val="1"/>
      </rPr>
      <t xml:space="preserve">:DN100
</t>
    </r>
    <r>
      <rPr>
        <sz val="9"/>
        <color rgb="FF1F4E79"/>
        <rFont val="Arial"/>
        <family val="0"/>
        <charset val="1"/>
      </rPr>
      <t xml:space="preserve">2. Quy cách: DN100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</si>
  <si>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:Y</t>
    </r>
    <r>
      <rPr>
        <sz val="9"/>
        <rFont val="WenQuanYi Zen Hei"/>
        <family val="2"/>
      </rPr>
      <t xml:space="preserve">型过滤器
</t>
    </r>
    <r>
      <rPr>
        <sz val="9"/>
        <color rgb="FF1F4E79"/>
        <rFont val="Arial"/>
        <family val="0"/>
        <charset val="1"/>
      </rPr>
      <t xml:space="preserve">1. Loại: bộ lọc chữ Y
</t>
    </r>
    <r>
      <rPr>
        <sz val="9"/>
        <rFont val="宋体"/>
        <family val="0"/>
        <charset val="1"/>
      </rPr>
      <t xml:space="preserve">2.</t>
    </r>
    <r>
      <rPr>
        <sz val="9"/>
        <rFont val="WenQuanYi Zen Hei"/>
        <family val="2"/>
      </rPr>
      <t xml:space="preserve">规格</t>
    </r>
    <r>
      <rPr>
        <sz val="9"/>
        <rFont val="宋体"/>
        <family val="0"/>
        <charset val="1"/>
      </rPr>
      <t xml:space="preserve">:DN65
</t>
    </r>
    <r>
      <rPr>
        <sz val="9"/>
        <color rgb="FF1F4E79"/>
        <rFont val="Arial"/>
        <family val="0"/>
        <charset val="1"/>
      </rPr>
      <t xml:space="preserve">2. Quy cách: DN65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</si>
  <si>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:Y</t>
    </r>
    <r>
      <rPr>
        <sz val="9"/>
        <rFont val="WenQuanYi Zen Hei"/>
        <family val="2"/>
      </rPr>
      <t xml:space="preserve">型过滤器
</t>
    </r>
    <r>
      <rPr>
        <sz val="9"/>
        <color rgb="FF1F4E79"/>
        <rFont val="Arial"/>
        <family val="0"/>
        <charset val="1"/>
      </rPr>
      <t xml:space="preserve">1. Loại: bộ lọc chữ Y
</t>
    </r>
    <r>
      <rPr>
        <sz val="9"/>
        <rFont val="宋体"/>
        <family val="0"/>
        <charset val="1"/>
      </rPr>
      <t xml:space="preserve">2.</t>
    </r>
    <r>
      <rPr>
        <sz val="9"/>
        <rFont val="WenQuanYi Zen Hei"/>
        <family val="2"/>
      </rPr>
      <t xml:space="preserve">规格</t>
    </r>
    <r>
      <rPr>
        <sz val="9"/>
        <rFont val="宋体"/>
        <family val="0"/>
        <charset val="1"/>
      </rPr>
      <t xml:space="preserve">:DN50
</t>
    </r>
    <r>
      <rPr>
        <sz val="9"/>
        <color rgb="FF1F4E79"/>
        <rFont val="Arial"/>
        <family val="0"/>
        <charset val="1"/>
      </rPr>
      <t xml:space="preserve">2. Quy cách: DN50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</si>
  <si>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:Y</t>
    </r>
    <r>
      <rPr>
        <sz val="9"/>
        <rFont val="WenQuanYi Zen Hei"/>
        <family val="2"/>
      </rPr>
      <t xml:space="preserve">型过滤器
</t>
    </r>
    <r>
      <rPr>
        <sz val="9"/>
        <color rgb="FF1F4E79"/>
        <rFont val="Arial"/>
        <family val="0"/>
        <charset val="1"/>
      </rPr>
      <t xml:space="preserve">1. Loại: bộ lọc chữ Y
</t>
    </r>
    <r>
      <rPr>
        <sz val="9"/>
        <rFont val="宋体"/>
        <family val="0"/>
        <charset val="1"/>
      </rPr>
      <t xml:space="preserve">2.</t>
    </r>
    <r>
      <rPr>
        <sz val="9"/>
        <rFont val="WenQuanYi Zen Hei"/>
        <family val="2"/>
      </rPr>
      <t xml:space="preserve">规格</t>
    </r>
    <r>
      <rPr>
        <sz val="9"/>
        <rFont val="宋体"/>
        <family val="0"/>
        <charset val="1"/>
      </rPr>
      <t xml:space="preserve">:DN20
</t>
    </r>
    <r>
      <rPr>
        <sz val="9"/>
        <color rgb="FF1F4E79"/>
        <rFont val="Arial"/>
        <family val="0"/>
        <charset val="1"/>
      </rPr>
      <t xml:space="preserve">2. Quy cách: DN20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</si>
  <si>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橡胶软接头
</t>
    </r>
    <r>
      <rPr>
        <sz val="9"/>
        <color rgb="FF1F4E79"/>
        <rFont val="Arial"/>
        <family val="0"/>
        <charset val="1"/>
      </rPr>
      <t xml:space="preserve">1. Loại: khớp nối mềm cao su
</t>
    </r>
    <r>
      <rPr>
        <sz val="9"/>
        <rFont val="宋体"/>
        <family val="0"/>
        <charset val="1"/>
      </rPr>
      <t xml:space="preserve">2.</t>
    </r>
    <r>
      <rPr>
        <sz val="9"/>
        <rFont val="WenQuanYi Zen Hei"/>
        <family val="2"/>
      </rPr>
      <t xml:space="preserve">规格</t>
    </r>
    <r>
      <rPr>
        <sz val="9"/>
        <rFont val="宋体"/>
        <family val="0"/>
        <charset val="1"/>
      </rPr>
      <t xml:space="preserve">:DN65
</t>
    </r>
    <r>
      <rPr>
        <sz val="9"/>
        <color rgb="FF1F4E79"/>
        <rFont val="Arial"/>
        <family val="0"/>
        <charset val="1"/>
      </rPr>
      <t xml:space="preserve">2. Quy cách: DN65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</si>
  <si>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不锈钢软接头
</t>
    </r>
    <r>
      <rPr>
        <sz val="9"/>
        <color rgb="FF1F4E79"/>
        <rFont val="Arial"/>
        <family val="0"/>
        <charset val="1"/>
      </rPr>
      <t xml:space="preserve">Khớp nối mềm inox</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</si>
  <si>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不锈钢软接头
</t>
    </r>
    <r>
      <rPr>
        <sz val="9"/>
        <color rgb="FF1F4E79"/>
        <rFont val="Arial"/>
        <family val="0"/>
        <charset val="1"/>
      </rPr>
      <t xml:space="preserve">1. Loại: khớp nối mềm inox
</t>
    </r>
    <r>
      <rPr>
        <sz val="9"/>
        <rFont val="宋体"/>
        <family val="0"/>
        <charset val="1"/>
      </rPr>
      <t xml:space="preserve">2.</t>
    </r>
    <r>
      <rPr>
        <sz val="9"/>
        <rFont val="WenQuanYi Zen Hei"/>
        <family val="2"/>
      </rPr>
      <t xml:space="preserve">规格</t>
    </r>
    <r>
      <rPr>
        <sz val="9"/>
        <rFont val="宋体"/>
        <family val="0"/>
        <charset val="1"/>
      </rPr>
      <t xml:space="preserve">:DN50
</t>
    </r>
    <r>
      <rPr>
        <sz val="9"/>
        <color rgb="FF1F4E79"/>
        <rFont val="Arial"/>
        <family val="0"/>
        <charset val="1"/>
      </rPr>
      <t xml:space="preserve">2. Quy cách: DN50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</si>
  <si>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不锈钢软接头
</t>
    </r>
    <r>
      <rPr>
        <sz val="9"/>
        <color rgb="FF1F4E79"/>
        <rFont val="Arial"/>
        <family val="0"/>
        <charset val="1"/>
      </rPr>
      <t xml:space="preserve">1. Loại: khớp nối mềm inox
</t>
    </r>
    <r>
      <rPr>
        <sz val="9"/>
        <rFont val="宋体"/>
        <family val="0"/>
        <charset val="1"/>
      </rPr>
      <t xml:space="preserve">2.</t>
    </r>
    <r>
      <rPr>
        <sz val="9"/>
        <rFont val="WenQuanYi Zen Hei"/>
        <family val="2"/>
      </rPr>
      <t xml:space="preserve">规格</t>
    </r>
    <r>
      <rPr>
        <sz val="9"/>
        <rFont val="宋体"/>
        <family val="0"/>
        <charset val="1"/>
      </rPr>
      <t xml:space="preserve">:DN20
</t>
    </r>
    <r>
      <rPr>
        <sz val="9"/>
        <color rgb="FF1F4E79"/>
        <rFont val="Arial"/>
        <family val="0"/>
        <charset val="1"/>
      </rPr>
      <t xml:space="preserve">2. Quy cách: DN20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</si>
  <si>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塘沽利盾、红旗、华科、富阳
</t>
    </r>
    <r>
      <rPr>
        <sz val="9"/>
        <color rgb="FF1F4E79"/>
        <rFont val="Arial"/>
        <family val="0"/>
        <charset val="1"/>
      </rPr>
      <t xml:space="preserve">Tanggu Lidun, Hongqi, Huake, Fuyang</t>
    </r>
  </si>
  <si>
    <r>
      <rPr>
        <sz val="9"/>
        <rFont val="WenQuanYi Zen Hei"/>
        <family val="2"/>
      </rPr>
      <t xml:space="preserve">自动排气阀
</t>
    </r>
    <r>
      <rPr>
        <sz val="9"/>
        <color rgb="FF1F4E79"/>
        <rFont val="Arial"/>
        <family val="0"/>
        <charset val="1"/>
      </rPr>
      <t xml:space="preserve">Van xả khí tự động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</si>
  <si>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自动排气阀
</t>
    </r>
    <r>
      <rPr>
        <sz val="9"/>
        <color rgb="FF1F4E79"/>
        <rFont val="Arial"/>
        <family val="0"/>
        <charset val="1"/>
      </rPr>
      <t xml:space="preserve">1. Loại: van xả khí tự động
</t>
    </r>
    <r>
      <rPr>
        <sz val="9"/>
        <rFont val="宋体"/>
        <family val="0"/>
        <charset val="1"/>
      </rPr>
      <t xml:space="preserve">2.</t>
    </r>
    <r>
      <rPr>
        <sz val="9"/>
        <rFont val="WenQuanYi Zen Hei"/>
        <family val="2"/>
      </rPr>
      <t xml:space="preserve">规格</t>
    </r>
    <r>
      <rPr>
        <sz val="9"/>
        <rFont val="宋体"/>
        <family val="0"/>
        <charset val="1"/>
      </rPr>
      <t xml:space="preserve">:DN20</t>
    </r>
    <r>
      <rPr>
        <sz val="9"/>
        <rFont val="WenQuanYi Zen Hei"/>
        <family val="2"/>
      </rPr>
      <t xml:space="preserve">，含配套</t>
    </r>
    <r>
      <rPr>
        <sz val="9"/>
        <rFont val="宋体"/>
        <family val="0"/>
        <charset val="1"/>
      </rPr>
      <t xml:space="preserve">DN20</t>
    </r>
    <r>
      <rPr>
        <sz val="9"/>
        <rFont val="WenQuanYi Zen Hei"/>
        <family val="2"/>
      </rPr>
      <t xml:space="preserve">球阀
</t>
    </r>
    <r>
      <rPr>
        <sz val="9"/>
        <color rgb="FF1F4E79"/>
        <rFont val="Arial"/>
        <family val="0"/>
        <charset val="1"/>
      </rPr>
      <t xml:space="preserve">2. Quy cách: DN20, kèm van bi DN20 đồng bộ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</si>
  <si>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泄水阀
</t>
    </r>
    <r>
      <rPr>
        <sz val="9"/>
        <color rgb="FF1F4E79"/>
        <rFont val="Arial"/>
        <family val="0"/>
        <charset val="1"/>
      </rPr>
      <t xml:space="preserve">Van xả nước</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</si>
  <si>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泄水阀
</t>
    </r>
    <r>
      <rPr>
        <sz val="9"/>
        <color rgb="FF1F4E79"/>
        <rFont val="Arial"/>
        <family val="0"/>
        <charset val="1"/>
      </rPr>
      <t xml:space="preserve">1. Loại: van xả nước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铜闸阀</t>
    </r>
    <r>
      <rPr>
        <sz val="9"/>
        <rFont val="宋体"/>
        <family val="0"/>
        <charset val="1"/>
      </rPr>
      <t xml:space="preserve">DN40
</t>
    </r>
    <r>
      <rPr>
        <sz val="9"/>
        <color rgb="FF1F4E79"/>
        <rFont val="Arial"/>
        <family val="0"/>
        <charset val="1"/>
      </rPr>
      <t xml:space="preserve">2. Quy cách: van cổng đồng DN40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螺纹连接
</t>
    </r>
    <r>
      <rPr>
        <sz val="9"/>
        <color rgb="FF1F4E79"/>
        <rFont val="Arial"/>
        <family val="0"/>
        <charset val="1"/>
      </rPr>
      <t xml:space="preserve">3. Hình thức kết nối: nối ren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</si>
  <si>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立管楼板开孔及修复、套管制作安装
</t>
    </r>
    <r>
      <rPr>
        <sz val="9"/>
        <color rgb="FF1F4E79"/>
        <rFont val="Arial"/>
        <family val="0"/>
        <charset val="1"/>
      </rPr>
      <t xml:space="preserve">Khoan lỗ sàn cho ống đứng và hoàn trả, chế tạo lắp đặt ống lồng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</si>
  <si>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楼板开孔及修复、套管制作安装                          </t>
    </r>
    <r>
      <rPr>
        <sz val="9"/>
        <rFont val="宋体"/>
        <family val="0"/>
        <charset val="1"/>
      </rPr>
      <t xml:space="preserve">2</t>
    </r>
    <r>
      <rPr>
        <sz val="9"/>
        <rFont val="WenQuanYi Zen Hei"/>
        <family val="2"/>
      </rPr>
      <t xml:space="preserve">、名称、类型</t>
    </r>
    <r>
      <rPr>
        <sz val="9"/>
        <rFont val="宋体"/>
        <family val="0"/>
        <charset val="1"/>
      </rPr>
      <t xml:space="preserve">:</t>
    </r>
    <r>
      <rPr>
        <sz val="9"/>
        <rFont val="WenQuanYi Zen Hei"/>
        <family val="2"/>
      </rPr>
      <t xml:space="preserve">刚性防水套管
</t>
    </r>
    <r>
      <rPr>
        <sz val="9"/>
        <color rgb="FF1F4E79"/>
        <rFont val="Arial"/>
        <family val="0"/>
        <charset val="1"/>
      </rPr>
      <t xml:space="preserve">1. Loại: khoan lỗ sàn và hoàn trả, chế tạo lắp đặt ống lồng                          2. Tên, loại: ống lồng chống thấm cứng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焊接钢管、钢板
</t>
    </r>
    <r>
      <rPr>
        <sz val="9"/>
        <color rgb="FF1F4E79"/>
        <rFont val="Arial"/>
        <family val="0"/>
        <charset val="1"/>
      </rPr>
      <t xml:space="preserve">3. Vật liệu: ống thép hàn, thép tấm</t>
    </r>
  </si>
  <si>
    <r>
      <rPr>
        <sz val="9"/>
        <rFont val="WenQuanYi Zen Hei"/>
        <family val="2"/>
      </rPr>
      <t xml:space="preserve">空调系统检测、调试
</t>
    </r>
    <r>
      <rPr>
        <sz val="9"/>
        <color rgb="FF1F4E79"/>
        <rFont val="Arial"/>
        <family val="0"/>
        <charset val="1"/>
      </rPr>
      <t xml:space="preserve">Kiểm tra, chạy thử hệ thống điều hòa</t>
    </r>
  </si>
  <si>
    <r>
      <rPr>
        <sz val="9"/>
        <rFont val="WenQuanYi Zen Hei"/>
        <family val="2"/>
      </rPr>
      <t xml:space="preserve">空调水工程系统调试
</t>
    </r>
    <r>
      <rPr>
        <sz val="9"/>
        <color rgb="FF1F4E79"/>
        <rFont val="Arial"/>
        <family val="0"/>
        <charset val="1"/>
      </rPr>
      <t xml:space="preserve">Chạy thử hệ thống công trình nước điều hòa</t>
    </r>
  </si>
  <si>
    <r>
      <rPr>
        <sz val="9"/>
        <rFont val="宋体"/>
        <family val="0"/>
        <charset val="1"/>
      </rPr>
      <t xml:space="preserve">AHU</t>
    </r>
    <r>
      <rPr>
        <sz val="9"/>
        <rFont val="WenQuanYi Zen Hei"/>
        <family val="2"/>
      </rPr>
      <t xml:space="preserve">动力控制柜
</t>
    </r>
    <r>
      <rPr>
        <sz val="9"/>
        <color rgb="FF1F4E79"/>
        <rFont val="Arial"/>
        <family val="0"/>
        <charset val="1"/>
      </rPr>
      <t xml:space="preserve">Tủ điều khiển động lực AHU
</t>
    </r>
    <r>
      <rPr>
        <sz val="9"/>
        <rFont val="宋体"/>
        <family val="0"/>
        <charset val="1"/>
      </rPr>
      <t xml:space="preserve">APL-1F01</t>
    </r>
    <r>
      <rPr>
        <sz val="9"/>
        <rFont val="WenQuanYi Zen Hei"/>
        <family val="2"/>
      </rPr>
      <t xml:space="preserve">～</t>
    </r>
    <r>
      <rPr>
        <sz val="9"/>
        <rFont val="宋体"/>
        <family val="0"/>
        <charset val="1"/>
      </rPr>
      <t xml:space="preserve">04</t>
    </r>
  </si>
  <si>
    <r>
      <rPr>
        <sz val="9"/>
        <rFont val="宋体"/>
        <family val="0"/>
        <charset val="1"/>
      </rPr>
      <t xml:space="preserve">1.</t>
    </r>
    <r>
      <rPr>
        <sz val="9"/>
        <rFont val="WenQuanYi Zen Hei"/>
        <family val="2"/>
      </rPr>
      <t xml:space="preserve">名称：</t>
    </r>
    <r>
      <rPr>
        <sz val="9"/>
        <rFont val="宋体"/>
        <family val="0"/>
        <charset val="1"/>
      </rPr>
      <t xml:space="preserve">AHU</t>
    </r>
    <r>
      <rPr>
        <sz val="9"/>
        <rFont val="WenQuanYi Zen Hei"/>
        <family val="2"/>
      </rPr>
      <t xml:space="preserve">动力控制柜
</t>
    </r>
    <r>
      <rPr>
        <sz val="9"/>
        <color rgb="FF1F4E79"/>
        <rFont val="Arial"/>
        <family val="0"/>
        <charset val="1"/>
      </rPr>
      <t xml:space="preserve">1. Tên: tủ điều khiển động lực AHU
</t>
    </r>
    <r>
      <rPr>
        <sz val="9"/>
        <rFont val="宋体"/>
        <family val="0"/>
        <charset val="1"/>
      </rPr>
      <t xml:space="preserve">2.</t>
    </r>
    <r>
      <rPr>
        <sz val="9"/>
        <rFont val="WenQuanYi Zen Hei"/>
        <family val="2"/>
      </rPr>
      <t xml:space="preserve">编号：</t>
    </r>
    <r>
      <rPr>
        <sz val="9"/>
        <rFont val="宋体"/>
        <family val="0"/>
        <charset val="1"/>
      </rPr>
      <t xml:space="preserve">APL-1F01</t>
    </r>
    <r>
      <rPr>
        <sz val="9"/>
        <rFont val="WenQuanYi Zen Hei"/>
        <family val="2"/>
      </rPr>
      <t xml:space="preserve">～</t>
    </r>
    <r>
      <rPr>
        <sz val="9"/>
        <rFont val="宋体"/>
        <family val="0"/>
        <charset val="1"/>
      </rPr>
      <t xml:space="preserve">04
</t>
    </r>
    <r>
      <rPr>
        <sz val="9"/>
        <color rgb="FF1F4E79"/>
        <rFont val="Arial"/>
        <family val="0"/>
        <charset val="1"/>
      </rPr>
      <t xml:space="preserve">2. Mã hiệu: APL-1F01</t>
    </r>
    <r>
      <rPr>
        <sz val="9"/>
        <color rgb="FF1F4E79"/>
        <rFont val="WenQuanYi Zen Hei"/>
        <family val="2"/>
      </rPr>
      <t xml:space="preserve">～</t>
    </r>
    <r>
      <rPr>
        <sz val="9"/>
        <color rgb="FF1F4E79"/>
        <rFont val="Arial"/>
        <family val="0"/>
        <charset val="1"/>
      </rPr>
      <t xml:space="preserve">04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1800*1200*600
</t>
    </r>
    <r>
      <rPr>
        <sz val="9"/>
        <color rgb="FF1F4E79"/>
        <rFont val="Arial"/>
        <family val="0"/>
        <charset val="1"/>
      </rPr>
      <t xml:space="preserve">5. Vỏ tủ kiểu Rittal: 1800*1200*600</t>
    </r>
  </si>
  <si>
    <r>
      <rPr>
        <sz val="9"/>
        <rFont val="宋体"/>
        <family val="0"/>
        <charset val="1"/>
      </rPr>
      <t xml:space="preserve">AHU/MAU</t>
    </r>
    <r>
      <rPr>
        <sz val="9"/>
        <rFont val="WenQuanYi Zen Hei"/>
        <family val="2"/>
      </rPr>
      <t xml:space="preserve">动力控制柜
</t>
    </r>
    <r>
      <rPr>
        <sz val="9"/>
        <color rgb="FF1F4E79"/>
        <rFont val="Arial"/>
        <family val="0"/>
        <charset val="1"/>
      </rPr>
      <t xml:space="preserve">Tủ điều khiển động lực AHU/MAU
</t>
    </r>
    <r>
      <rPr>
        <sz val="9"/>
        <rFont val="宋体"/>
        <family val="0"/>
        <charset val="1"/>
      </rPr>
      <t xml:space="preserve">APL-1F05</t>
    </r>
  </si>
  <si>
    <r>
      <rPr>
        <sz val="9"/>
        <rFont val="宋体"/>
        <family val="0"/>
        <charset val="1"/>
      </rPr>
      <t xml:space="preserve">1.</t>
    </r>
    <r>
      <rPr>
        <sz val="9"/>
        <rFont val="WenQuanYi Zen Hei"/>
        <family val="2"/>
      </rPr>
      <t xml:space="preserve">名称：</t>
    </r>
    <r>
      <rPr>
        <sz val="9"/>
        <rFont val="宋体"/>
        <family val="0"/>
        <charset val="1"/>
      </rPr>
      <t xml:space="preserve">AHU/MAU</t>
    </r>
    <r>
      <rPr>
        <sz val="9"/>
        <rFont val="WenQuanYi Zen Hei"/>
        <family val="2"/>
      </rPr>
      <t xml:space="preserve">动力控制柜
</t>
    </r>
    <r>
      <rPr>
        <sz val="9"/>
        <color rgb="FF1F4E79"/>
        <rFont val="Arial"/>
        <family val="0"/>
        <charset val="1"/>
      </rPr>
      <t xml:space="preserve">1. Tên: tủ điều khiển động lực AHU/MAU
</t>
    </r>
    <r>
      <rPr>
        <sz val="9"/>
        <rFont val="宋体"/>
        <family val="0"/>
        <charset val="1"/>
      </rPr>
      <t xml:space="preserve">2.</t>
    </r>
    <r>
      <rPr>
        <sz val="9"/>
        <rFont val="WenQuanYi Zen Hei"/>
        <family val="2"/>
      </rPr>
      <t xml:space="preserve">编号：</t>
    </r>
    <r>
      <rPr>
        <sz val="9"/>
        <rFont val="宋体"/>
        <family val="0"/>
        <charset val="1"/>
      </rPr>
      <t xml:space="preserve">APL-1F05
</t>
    </r>
    <r>
      <rPr>
        <sz val="9"/>
        <color rgb="FF1F4E79"/>
        <rFont val="Arial"/>
        <family val="0"/>
        <charset val="1"/>
      </rPr>
      <t xml:space="preserve">2. Mã hiệu: APL-1F05
</t>
    </r>
    <r>
      <rPr>
        <sz val="9"/>
        <rFont val="宋体"/>
        <family val="0"/>
        <charset val="1"/>
      </rPr>
      <t xml:space="preserve">3.</t>
    </r>
    <r>
      <rPr>
        <sz val="9"/>
        <rFont val="WenQuanYi Zen Hei"/>
        <family val="2"/>
      </rPr>
      <t xml:space="preserve">成品柜，内含负荷开关、互感器、多功能电表、接触器、继电器、接线端子、按钮、指示灯等
</t>
    </r>
    <r>
      <rPr>
        <sz val="9"/>
        <color rgb="FF1F4E79"/>
        <rFont val="Arial"/>
        <family val="0"/>
        <charset val="1"/>
      </rPr>
      <t xml:space="preserve">3. Tủ thành phẩm, bên trong gồm cầu dao phụ tải, biến dòng,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</si>
  <si>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AHU</t>
    </r>
    <r>
      <rPr>
        <sz val="9"/>
        <rFont val="WenQuanYi Zen Hei"/>
        <family val="2"/>
      </rPr>
      <t xml:space="preserve">动力控制柜
</t>
    </r>
    <r>
      <rPr>
        <sz val="9"/>
        <color rgb="FF1F4E79"/>
        <rFont val="Arial"/>
        <family val="0"/>
        <charset val="1"/>
      </rPr>
      <t xml:space="preserve">Tủ điều khiển động lực AHU
</t>
    </r>
    <r>
      <rPr>
        <sz val="9"/>
        <rFont val="宋体"/>
        <family val="0"/>
        <charset val="1"/>
      </rPr>
      <t xml:space="preserve">APL-1F06</t>
    </r>
  </si>
  <si>
    <r>
      <rPr>
        <sz val="9"/>
        <rFont val="宋体"/>
        <family val="0"/>
        <charset val="1"/>
      </rPr>
      <t xml:space="preserve">1.</t>
    </r>
    <r>
      <rPr>
        <sz val="9"/>
        <rFont val="WenQuanYi Zen Hei"/>
        <family val="2"/>
      </rPr>
      <t xml:space="preserve">名称：</t>
    </r>
    <r>
      <rPr>
        <sz val="9"/>
        <rFont val="宋体"/>
        <family val="0"/>
        <charset val="1"/>
      </rPr>
      <t xml:space="preserve">AHU</t>
    </r>
    <r>
      <rPr>
        <sz val="9"/>
        <rFont val="WenQuanYi Zen Hei"/>
        <family val="2"/>
      </rPr>
      <t xml:space="preserve">动力控制柜
</t>
    </r>
    <r>
      <rPr>
        <sz val="9"/>
        <color rgb="FF1F4E79"/>
        <rFont val="Arial"/>
        <family val="0"/>
        <charset val="1"/>
      </rPr>
      <t xml:space="preserve">1. Tên: tủ điều khiển động lực AHU
</t>
    </r>
    <r>
      <rPr>
        <sz val="9"/>
        <rFont val="宋体"/>
        <family val="0"/>
        <charset val="1"/>
      </rPr>
      <t xml:space="preserve">2.</t>
    </r>
    <r>
      <rPr>
        <sz val="9"/>
        <rFont val="WenQuanYi Zen Hei"/>
        <family val="2"/>
      </rPr>
      <t xml:space="preserve">编号：</t>
    </r>
    <r>
      <rPr>
        <sz val="9"/>
        <rFont val="宋体"/>
        <family val="0"/>
        <charset val="1"/>
      </rPr>
      <t xml:space="preserve">APL-1F06
</t>
    </r>
    <r>
      <rPr>
        <sz val="9"/>
        <color rgb="FF1F4E79"/>
        <rFont val="Arial"/>
        <family val="0"/>
        <charset val="1"/>
      </rPr>
      <t xml:space="preserve">2. Mã hiệu: APL-1F06
</t>
    </r>
    <r>
      <rPr>
        <sz val="9"/>
        <rFont val="宋体"/>
        <family val="0"/>
        <charset val="1"/>
      </rPr>
      <t xml:space="preserve">3.</t>
    </r>
    <r>
      <rPr>
        <sz val="9"/>
        <rFont val="WenQuanYi Zen Hei"/>
        <family val="2"/>
      </rPr>
      <t xml:space="preserve">成品柜，内含负荷开关、互感器、多功能电表、接触器、继电器、接线端子、按钮、指示灯等
</t>
    </r>
    <r>
      <rPr>
        <sz val="9"/>
        <color rgb="FF1F4E79"/>
        <rFont val="Arial"/>
        <family val="0"/>
        <charset val="1"/>
      </rPr>
      <t xml:space="preserve">3. Tủ thành phẩm, bên trong gồm cầu dao phụ tải, biến dòng,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</si>
  <si>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AHU/MAU</t>
    </r>
    <r>
      <rPr>
        <sz val="9"/>
        <rFont val="WenQuanYi Zen Hei"/>
        <family val="2"/>
      </rPr>
      <t xml:space="preserve">动力控制柜
</t>
    </r>
    <r>
      <rPr>
        <sz val="9"/>
        <color rgb="FF1F4E79"/>
        <rFont val="Arial"/>
        <family val="0"/>
        <charset val="1"/>
      </rPr>
      <t xml:space="preserve">Tủ điều khiển động lực AHU/MAU
</t>
    </r>
    <r>
      <rPr>
        <sz val="9"/>
        <rFont val="宋体"/>
        <family val="0"/>
        <charset val="1"/>
      </rPr>
      <t xml:space="preserve">APL-1F07</t>
    </r>
  </si>
  <si>
    <r>
      <rPr>
        <sz val="9"/>
        <rFont val="宋体"/>
        <family val="0"/>
        <charset val="1"/>
      </rPr>
      <t xml:space="preserve">1.</t>
    </r>
    <r>
      <rPr>
        <sz val="9"/>
        <rFont val="WenQuanYi Zen Hei"/>
        <family val="2"/>
      </rPr>
      <t xml:space="preserve">名称：</t>
    </r>
    <r>
      <rPr>
        <sz val="9"/>
        <rFont val="宋体"/>
        <family val="0"/>
        <charset val="1"/>
      </rPr>
      <t xml:space="preserve">AHU/MAU</t>
    </r>
    <r>
      <rPr>
        <sz val="9"/>
        <rFont val="WenQuanYi Zen Hei"/>
        <family val="2"/>
      </rPr>
      <t xml:space="preserve">动力控制柜
</t>
    </r>
    <r>
      <rPr>
        <sz val="9"/>
        <color rgb="FF1F4E79"/>
        <rFont val="Arial"/>
        <family val="0"/>
        <charset val="1"/>
      </rPr>
      <t xml:space="preserve">1. Tên: tủ điều khiển động lực AHU/MAU
</t>
    </r>
    <r>
      <rPr>
        <sz val="9"/>
        <rFont val="宋体"/>
        <family val="0"/>
        <charset val="1"/>
      </rPr>
      <t xml:space="preserve">2.</t>
    </r>
    <r>
      <rPr>
        <sz val="9"/>
        <rFont val="WenQuanYi Zen Hei"/>
        <family val="2"/>
      </rPr>
      <t xml:space="preserve">编号：</t>
    </r>
    <r>
      <rPr>
        <sz val="9"/>
        <rFont val="宋体"/>
        <family val="0"/>
        <charset val="1"/>
      </rPr>
      <t xml:space="preserve">APL-1F07
</t>
    </r>
    <r>
      <rPr>
        <sz val="9"/>
        <color rgb="FF1F4E79"/>
        <rFont val="Arial"/>
        <family val="0"/>
        <charset val="1"/>
      </rPr>
      <t xml:space="preserve">2. Mã hiệu: APL-1F07
</t>
    </r>
    <r>
      <rPr>
        <sz val="9"/>
        <rFont val="宋体"/>
        <family val="0"/>
        <charset val="1"/>
      </rPr>
      <t xml:space="preserve">3.</t>
    </r>
    <r>
      <rPr>
        <sz val="9"/>
        <rFont val="WenQuanYi Zen Hei"/>
        <family val="2"/>
      </rPr>
      <t xml:space="preserve">成品柜，内含负荷开关、互感器、多功能电表、接触器、继电器、接线端子、按钮、指示灯等
</t>
    </r>
    <r>
      <rPr>
        <sz val="9"/>
        <color rgb="FF1F4E79"/>
        <rFont val="Arial"/>
        <family val="0"/>
        <charset val="1"/>
      </rPr>
      <t xml:space="preserve">3. Tủ thành phẩm, bên trong gồm cầu dao phụ tải, biến dòng,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</si>
  <si>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AHU/MAU</t>
    </r>
    <r>
      <rPr>
        <sz val="9"/>
        <rFont val="WenQuanYi Zen Hei"/>
        <family val="2"/>
      </rPr>
      <t xml:space="preserve">动力控制柜
</t>
    </r>
    <r>
      <rPr>
        <sz val="9"/>
        <color rgb="FF1F4E79"/>
        <rFont val="Arial"/>
        <family val="0"/>
        <charset val="1"/>
      </rPr>
      <t xml:space="preserve">Tủ điều khiển động lực AHU/MAU
</t>
    </r>
    <r>
      <rPr>
        <sz val="9"/>
        <rFont val="宋体"/>
        <family val="0"/>
        <charset val="1"/>
      </rPr>
      <t xml:space="preserve">APL-1F08</t>
    </r>
  </si>
  <si>
    <r>
      <rPr>
        <sz val="9"/>
        <rFont val="宋体"/>
        <family val="0"/>
        <charset val="1"/>
      </rPr>
      <t xml:space="preserve">1.</t>
    </r>
    <r>
      <rPr>
        <sz val="9"/>
        <rFont val="WenQuanYi Zen Hei"/>
        <family val="2"/>
      </rPr>
      <t xml:space="preserve">名称：</t>
    </r>
    <r>
      <rPr>
        <sz val="9"/>
        <rFont val="宋体"/>
        <family val="0"/>
        <charset val="1"/>
      </rPr>
      <t xml:space="preserve">AHU/MAU</t>
    </r>
    <r>
      <rPr>
        <sz val="9"/>
        <rFont val="WenQuanYi Zen Hei"/>
        <family val="2"/>
      </rPr>
      <t xml:space="preserve">动力控制柜
</t>
    </r>
    <r>
      <rPr>
        <sz val="9"/>
        <color rgb="FF1F4E79"/>
        <rFont val="Arial"/>
        <family val="0"/>
        <charset val="1"/>
      </rPr>
      <t xml:space="preserve">1. Tên: tủ điều khiển động lực AHU/MAU
</t>
    </r>
    <r>
      <rPr>
        <sz val="9"/>
        <rFont val="宋体"/>
        <family val="0"/>
        <charset val="1"/>
      </rPr>
      <t xml:space="preserve">2.</t>
    </r>
    <r>
      <rPr>
        <sz val="9"/>
        <rFont val="WenQuanYi Zen Hei"/>
        <family val="2"/>
      </rPr>
      <t xml:space="preserve">编号：</t>
    </r>
    <r>
      <rPr>
        <sz val="9"/>
        <rFont val="宋体"/>
        <family val="0"/>
        <charset val="1"/>
      </rPr>
      <t xml:space="preserve">APL-1F08
</t>
    </r>
    <r>
      <rPr>
        <sz val="9"/>
        <color rgb="FF1F4E79"/>
        <rFont val="Arial"/>
        <family val="0"/>
        <charset val="1"/>
      </rPr>
      <t xml:space="preserve">2. Mã hiệu: APL-1F08
</t>
    </r>
    <r>
      <rPr>
        <sz val="9"/>
        <rFont val="宋体"/>
        <family val="0"/>
        <charset val="1"/>
      </rPr>
      <t xml:space="preserve">3.</t>
    </r>
    <r>
      <rPr>
        <sz val="9"/>
        <rFont val="WenQuanYi Zen Hei"/>
        <family val="2"/>
      </rPr>
      <t xml:space="preserve">成品柜，内含负荷开关、互感器、多功能电表、接触器、继电器、接线端子、按钮、指示灯等
</t>
    </r>
    <r>
      <rPr>
        <sz val="9"/>
        <color rgb="FF1F4E79"/>
        <rFont val="Arial"/>
        <family val="0"/>
        <charset val="1"/>
      </rPr>
      <t xml:space="preserve">3. Tủ thành phẩm, bên trong gồm cầu dao phụ tải, biến dòng,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</si>
  <si>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RCU</t>
    </r>
    <r>
      <rPr>
        <sz val="9"/>
        <rFont val="WenQuanYi Zen Hei"/>
        <family val="2"/>
      </rPr>
      <t xml:space="preserve">强弱电一体柜
</t>
    </r>
    <r>
      <rPr>
        <sz val="9"/>
        <color rgb="FF1F4E79"/>
        <rFont val="Arial"/>
        <family val="0"/>
        <charset val="1"/>
      </rPr>
      <t xml:space="preserve">Tủ tích hợp điện mạnh – điện nhẹ RCU
</t>
    </r>
    <r>
      <rPr>
        <sz val="9"/>
        <rFont val="宋体"/>
        <family val="0"/>
        <charset val="1"/>
      </rPr>
      <t xml:space="preserve">APL-1.5F01</t>
    </r>
    <r>
      <rPr>
        <sz val="9"/>
        <rFont val="WenQuanYi Zen Hei"/>
        <family val="2"/>
      </rPr>
      <t xml:space="preserve">～</t>
    </r>
    <r>
      <rPr>
        <sz val="9"/>
        <rFont val="宋体"/>
        <family val="0"/>
        <charset val="1"/>
      </rPr>
      <t xml:space="preserve">02</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</si>
  <si>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APL-1.5F01</t>
    </r>
    <r>
      <rPr>
        <sz val="9"/>
        <rFont val="WenQuanYi Zen Hei"/>
        <family val="2"/>
      </rPr>
      <t xml:space="preserve">～</t>
    </r>
    <r>
      <rPr>
        <sz val="9"/>
        <rFont val="宋体"/>
        <family val="0"/>
        <charset val="1"/>
      </rPr>
      <t xml:space="preserve">02
</t>
    </r>
    <r>
      <rPr>
        <sz val="9"/>
        <color rgb="FF1F4E79"/>
        <rFont val="Arial"/>
        <family val="0"/>
        <charset val="1"/>
      </rPr>
      <t xml:space="preserve">2. Mã hiệu: APL-1.5F01</t>
    </r>
    <r>
      <rPr>
        <sz val="9"/>
        <color rgb="FF1F4E79"/>
        <rFont val="WenQuanYi Zen Hei"/>
        <family val="2"/>
      </rPr>
      <t xml:space="preserve">～</t>
    </r>
    <r>
      <rPr>
        <sz val="9"/>
        <color rgb="FF1F4E79"/>
        <rFont val="Arial"/>
        <family val="0"/>
        <charset val="1"/>
      </rPr>
      <t xml:space="preserve">02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500*300*200
</t>
    </r>
    <r>
      <rPr>
        <sz val="9"/>
        <color rgb="FF1F4E79"/>
        <rFont val="Arial"/>
        <family val="0"/>
        <charset val="1"/>
      </rPr>
      <t xml:space="preserve">5. Vỏ tủ kiểu Rittal: 500*300*200</t>
    </r>
  </si>
  <si>
    <r>
      <rPr>
        <sz val="9"/>
        <rFont val="WenQuanYi Zen Hei"/>
        <family val="2"/>
      </rPr>
      <t xml:space="preserve">电气元器件：</t>
    </r>
    <r>
      <rPr>
        <sz val="9"/>
        <rFont val="宋体"/>
        <family val="0"/>
        <charset val="1"/>
      </rPr>
      <t xml:space="preserve">ABB</t>
    </r>
    <r>
      <rPr>
        <sz val="9"/>
        <rFont val="WenQuanYi Zen Hei"/>
        <family val="2"/>
      </rPr>
      <t xml:space="preserve">、施耐德
</t>
    </r>
    <r>
      <rPr>
        <sz val="9"/>
        <color rgb="FF1F4E79"/>
        <rFont val="Arial"/>
        <family val="0"/>
        <charset val="1"/>
      </rPr>
      <t xml:space="preserve">Linh kiện điện: ABB, Schneider</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</si>
  <si>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APL-2F01</t>
    </r>
    <r>
      <rPr>
        <sz val="9"/>
        <rFont val="WenQuanYi Zen Hei"/>
        <family val="2"/>
      </rPr>
      <t xml:space="preserve">～</t>
    </r>
    <r>
      <rPr>
        <sz val="9"/>
        <rFont val="宋体"/>
        <family val="0"/>
        <charset val="1"/>
      </rPr>
      <t xml:space="preserve">02</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</si>
  <si>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APL-2F01</t>
    </r>
    <r>
      <rPr>
        <sz val="9"/>
        <rFont val="WenQuanYi Zen Hei"/>
        <family val="2"/>
      </rPr>
      <t xml:space="preserve">～</t>
    </r>
    <r>
      <rPr>
        <sz val="9"/>
        <rFont val="宋体"/>
        <family val="0"/>
        <charset val="1"/>
      </rPr>
      <t xml:space="preserve">02
</t>
    </r>
    <r>
      <rPr>
        <sz val="9"/>
        <color rgb="FF1F4E79"/>
        <rFont val="Arial"/>
        <family val="0"/>
        <charset val="1"/>
      </rPr>
      <t xml:space="preserve">2. Mã hiệu: APL-2F01</t>
    </r>
    <r>
      <rPr>
        <sz val="9"/>
        <color rgb="FF1F4E79"/>
        <rFont val="WenQuanYi Zen Hei"/>
        <family val="2"/>
      </rPr>
      <t xml:space="preserve">～</t>
    </r>
    <r>
      <rPr>
        <sz val="9"/>
        <color rgb="FF1F4E79"/>
        <rFont val="Arial"/>
        <family val="0"/>
        <charset val="1"/>
      </rPr>
      <t xml:space="preserve">02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800*600*200
</t>
    </r>
    <r>
      <rPr>
        <sz val="9"/>
        <color rgb="FF1F4E79"/>
        <rFont val="Arial"/>
        <family val="0"/>
        <charset val="1"/>
      </rPr>
      <t xml:space="preserve">5. Vỏ tủ kiểu Rittal: 800*600*200</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</si>
  <si>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APL-2F03</t>
    </r>
    <r>
      <rPr>
        <sz val="9"/>
        <rFont val="WenQuanYi Zen Hei"/>
        <family val="2"/>
      </rPr>
      <t xml:space="preserve">～</t>
    </r>
    <r>
      <rPr>
        <sz val="9"/>
        <rFont val="宋体"/>
        <family val="0"/>
        <charset val="1"/>
      </rPr>
      <t xml:space="preserve">04</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</si>
  <si>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APL-2F03</t>
    </r>
    <r>
      <rPr>
        <sz val="9"/>
        <rFont val="WenQuanYi Zen Hei"/>
        <family val="2"/>
      </rPr>
      <t xml:space="preserve">～</t>
    </r>
    <r>
      <rPr>
        <sz val="9"/>
        <rFont val="宋体"/>
        <family val="0"/>
        <charset val="1"/>
      </rPr>
      <t xml:space="preserve">04
</t>
    </r>
    <r>
      <rPr>
        <sz val="9"/>
        <color rgb="FF1F4E79"/>
        <rFont val="Arial"/>
        <family val="0"/>
        <charset val="1"/>
      </rPr>
      <t xml:space="preserve">2. Mã hiệu: APL-2F03</t>
    </r>
    <r>
      <rPr>
        <sz val="9"/>
        <color rgb="FF1F4E79"/>
        <rFont val="WenQuanYi Zen Hei"/>
        <family val="2"/>
      </rPr>
      <t xml:space="preserve">～</t>
    </r>
    <r>
      <rPr>
        <sz val="9"/>
        <color rgb="FF1F4E79"/>
        <rFont val="Arial"/>
        <family val="0"/>
        <charset val="1"/>
      </rPr>
      <t xml:space="preserve">04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800*600*200
</t>
    </r>
    <r>
      <rPr>
        <sz val="9"/>
        <color rgb="FF1F4E79"/>
        <rFont val="Arial"/>
        <family val="0"/>
        <charset val="1"/>
      </rPr>
      <t xml:space="preserve">5. Vỏ tủ kiểu Rittal: 800*600*200</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</si>
  <si>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APL-2F05</t>
    </r>
    <r>
      <rPr>
        <sz val="9"/>
        <rFont val="WenQuanYi Zen Hei"/>
        <family val="2"/>
      </rPr>
      <t xml:space="preserve">～</t>
    </r>
    <r>
      <rPr>
        <sz val="9"/>
        <rFont val="宋体"/>
        <family val="0"/>
        <charset val="1"/>
      </rPr>
      <t xml:space="preserve">06</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</si>
  <si>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APL-2F05</t>
    </r>
    <r>
      <rPr>
        <sz val="9"/>
        <rFont val="WenQuanYi Zen Hei"/>
        <family val="2"/>
      </rPr>
      <t xml:space="preserve">～</t>
    </r>
    <r>
      <rPr>
        <sz val="9"/>
        <rFont val="宋体"/>
        <family val="0"/>
        <charset val="1"/>
      </rPr>
      <t xml:space="preserve">06
</t>
    </r>
    <r>
      <rPr>
        <sz val="9"/>
        <color rgb="FF1F4E79"/>
        <rFont val="Arial"/>
        <family val="0"/>
        <charset val="1"/>
      </rPr>
      <t xml:space="preserve">2. Mã hiệu: APL-2F05</t>
    </r>
    <r>
      <rPr>
        <sz val="9"/>
        <color rgb="FF1F4E79"/>
        <rFont val="WenQuanYi Zen Hei"/>
        <family val="2"/>
      </rPr>
      <t xml:space="preserve">～</t>
    </r>
    <r>
      <rPr>
        <sz val="9"/>
        <color rgb="FF1F4E79"/>
        <rFont val="Arial"/>
        <family val="0"/>
        <charset val="1"/>
      </rPr>
      <t xml:space="preserve">06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800*600*200
</t>
    </r>
    <r>
      <rPr>
        <sz val="9"/>
        <color rgb="FF1F4E79"/>
        <rFont val="Arial"/>
        <family val="0"/>
        <charset val="1"/>
      </rPr>
      <t xml:space="preserve">5. Vỏ tủ kiểu Rittal: 800*600*200</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</si>
  <si>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APL-2F07</t>
    </r>
    <r>
      <rPr>
        <sz val="9"/>
        <rFont val="WenQuanYi Zen Hei"/>
        <family val="2"/>
      </rPr>
      <t xml:space="preserve">～</t>
    </r>
    <r>
      <rPr>
        <sz val="9"/>
        <rFont val="宋体"/>
        <family val="0"/>
        <charset val="1"/>
      </rPr>
      <t xml:space="preserve">08</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</si>
  <si>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APL-2F07</t>
    </r>
    <r>
      <rPr>
        <sz val="9"/>
        <rFont val="WenQuanYi Zen Hei"/>
        <family val="2"/>
      </rPr>
      <t xml:space="preserve">～</t>
    </r>
    <r>
      <rPr>
        <sz val="9"/>
        <rFont val="宋体"/>
        <family val="0"/>
        <charset val="1"/>
      </rPr>
      <t xml:space="preserve">08
</t>
    </r>
    <r>
      <rPr>
        <sz val="9"/>
        <color rgb="FF1F4E79"/>
        <rFont val="Arial"/>
        <family val="0"/>
        <charset val="1"/>
      </rPr>
      <t xml:space="preserve">2. Mã hiệu: APL-2F07</t>
    </r>
    <r>
      <rPr>
        <sz val="9"/>
        <color rgb="FF1F4E79"/>
        <rFont val="WenQuanYi Zen Hei"/>
        <family val="2"/>
      </rPr>
      <t xml:space="preserve">～</t>
    </r>
    <r>
      <rPr>
        <sz val="9"/>
        <color rgb="FF1F4E79"/>
        <rFont val="Arial"/>
        <family val="0"/>
        <charset val="1"/>
      </rPr>
      <t xml:space="preserve">08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800*600*200
</t>
    </r>
    <r>
      <rPr>
        <sz val="9"/>
        <color rgb="FF1F4E79"/>
        <rFont val="Arial"/>
        <family val="0"/>
        <charset val="1"/>
      </rPr>
      <t xml:space="preserve">5. Vỏ tủ kiểu Rittal: 800*600*200</t>
    </r>
  </si>
  <si>
    <r>
      <rPr>
        <sz val="9"/>
        <rFont val="WenQuanYi Zen Hei"/>
        <family val="2"/>
      </rPr>
      <t xml:space="preserve">动力柜钢构支架
</t>
    </r>
    <r>
      <rPr>
        <sz val="9"/>
        <color rgb="FF1F4E79"/>
        <rFont val="Arial"/>
        <family val="0"/>
        <charset val="1"/>
      </rPr>
      <t xml:space="preserve">Giá đỡ kết cấu thép cho tủ động lực</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</si>
  <si>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钢构支架 
</t>
    </r>
    <r>
      <rPr>
        <sz val="9"/>
        <color rgb="FF1F4E79"/>
        <rFont val="Arial"/>
        <family val="0"/>
        <charset val="1"/>
      </rPr>
      <t xml:space="preserve">1. Hình thức: giá đỡ kết cấu thép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槽钢
</t>
    </r>
    <r>
      <rPr>
        <sz val="9"/>
        <color rgb="FF1F4E79"/>
        <rFont val="Arial"/>
        <family val="0"/>
        <charset val="1"/>
      </rPr>
      <t xml:space="preserve">2. Vật liệu: thép chữ U</t>
    </r>
  </si>
  <si>
    <r>
      <rPr>
        <b val="true"/>
        <sz val="9"/>
        <rFont val="WenQuanYi Zen Hei"/>
        <family val="2"/>
      </rPr>
      <t xml:space="preserve">五、
</t>
    </r>
    <r>
      <rPr>
        <b val="true"/>
        <sz val="9"/>
        <color rgb="FF1F4E79"/>
        <rFont val="Arial"/>
        <family val="0"/>
        <charset val="1"/>
      </rPr>
      <t xml:space="preserve">V.</t>
    </r>
  </si>
  <si>
    <r>
      <rPr>
        <b val="true"/>
        <sz val="9"/>
        <rFont val="WenQuanYi Zen Hei"/>
        <family val="2"/>
      </rPr>
      <t xml:space="preserve">空调自控系统
</t>
    </r>
    <r>
      <rPr>
        <b val="true"/>
        <sz val="9"/>
        <color rgb="FF1F4E79"/>
        <rFont val="Arial"/>
        <family val="0"/>
        <charset val="1"/>
      </rPr>
      <t xml:space="preserve">Hệ thống điều khiển tự động điều hòa</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</si>
  <si>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PLC-1F01</t>
    </r>
    <r>
      <rPr>
        <sz val="9"/>
        <rFont val="WenQuanYi Zen Hei"/>
        <family val="2"/>
      </rPr>
      <t xml:space="preserve">～</t>
    </r>
    <r>
      <rPr>
        <sz val="9"/>
        <rFont val="宋体"/>
        <family val="0"/>
        <charset val="1"/>
      </rPr>
      <t xml:space="preserve">02</t>
    </r>
  </si>
  <si>
    <r>
      <rPr>
        <sz val="9"/>
        <rFont val="宋体"/>
        <family val="0"/>
        <charset val="1"/>
      </rPr>
      <t xml:space="preserve">1.</t>
    </r>
    <r>
      <rPr>
        <sz val="9"/>
        <rFont val="WenQuanYi Zen Hei"/>
        <family val="2"/>
      </rPr>
      <t xml:space="preserve">名称：</t>
    </r>
    <r>
      <rPr>
        <sz val="9"/>
        <rFont val="宋体"/>
        <family val="0"/>
        <charset val="1"/>
      </rPr>
      <t xml:space="preserve">PLC</t>
    </r>
    <r>
      <rPr>
        <sz val="9"/>
        <rFont val="WenQuanYi Zen Hei"/>
        <family val="2"/>
      </rPr>
      <t xml:space="preserve">自动控制柜
</t>
    </r>
    <r>
      <rPr>
        <sz val="9"/>
        <color rgb="FF1F4E79"/>
        <rFont val="Arial"/>
        <family val="0"/>
        <charset val="1"/>
      </rPr>
      <t xml:space="preserve">1. Tên: tủ điều khiển tự động PLC
</t>
    </r>
    <r>
      <rPr>
        <sz val="9"/>
        <rFont val="宋体"/>
        <family val="0"/>
        <charset val="1"/>
      </rPr>
      <t xml:space="preserve">2.</t>
    </r>
    <r>
      <rPr>
        <sz val="9"/>
        <rFont val="WenQuanYi Zen Hei"/>
        <family val="2"/>
      </rPr>
      <t xml:space="preserve">编号：</t>
    </r>
    <r>
      <rPr>
        <sz val="9"/>
        <rFont val="宋体"/>
        <family val="0"/>
        <charset val="1"/>
      </rPr>
      <t xml:space="preserve">PLC-1F01</t>
    </r>
    <r>
      <rPr>
        <sz val="9"/>
        <rFont val="WenQuanYi Zen Hei"/>
        <family val="2"/>
      </rPr>
      <t xml:space="preserve">～</t>
    </r>
    <r>
      <rPr>
        <sz val="9"/>
        <rFont val="宋体"/>
        <family val="0"/>
        <charset val="1"/>
      </rPr>
      <t xml:space="preserve">02
</t>
    </r>
    <r>
      <rPr>
        <sz val="9"/>
        <color rgb="FF1F4E79"/>
        <rFont val="Arial"/>
        <family val="0"/>
        <charset val="1"/>
      </rPr>
      <t xml:space="preserve">2. Mã hiệu: PLC-1F01</t>
    </r>
    <r>
      <rPr>
        <sz val="9"/>
        <color rgb="FF1F4E79"/>
        <rFont val="WenQuanYi Zen Hei"/>
        <family val="2"/>
      </rPr>
      <t xml:space="preserve">～</t>
    </r>
    <r>
      <rPr>
        <sz val="9"/>
        <color rgb="FF1F4E79"/>
        <rFont val="Arial"/>
        <family val="0"/>
        <charset val="1"/>
      </rPr>
      <t xml:space="preserve">02
</t>
    </r>
    <r>
      <rPr>
        <sz val="9"/>
        <rFont val="宋体"/>
        <family val="0"/>
        <charset val="1"/>
      </rPr>
      <t xml:space="preserve">3.</t>
    </r>
    <r>
      <rPr>
        <sz val="9"/>
        <rFont val="WenQuanYi Zen Hei"/>
        <family val="2"/>
      </rPr>
      <t xml:space="preserve">成品柜，内含</t>
    </r>
    <r>
      <rPr>
        <sz val="9"/>
        <rFont val="宋体"/>
        <family val="0"/>
        <charset val="1"/>
      </rPr>
      <t xml:space="preserve">PLC</t>
    </r>
    <r>
      <rPr>
        <sz val="9"/>
        <rFont val="WenQuanYi Zen Hei"/>
        <family val="2"/>
      </rPr>
      <t xml:space="preserve">控制器、</t>
    </r>
    <r>
      <rPr>
        <sz val="9"/>
        <rFont val="宋体"/>
        <family val="0"/>
        <charset val="1"/>
      </rPr>
      <t xml:space="preserve">10</t>
    </r>
    <r>
      <rPr>
        <sz val="9"/>
        <rFont val="WenQuanYi Zen Hei"/>
        <family val="2"/>
      </rPr>
      <t xml:space="preserve">英寸触摸屏、</t>
    </r>
    <r>
      <rPr>
        <sz val="9"/>
        <rFont val="宋体"/>
        <family val="0"/>
        <charset val="1"/>
      </rPr>
      <t xml:space="preserve">I/O</t>
    </r>
    <r>
      <rPr>
        <sz val="9"/>
        <rFont val="WenQuanYi Zen Hei"/>
        <family val="2"/>
      </rPr>
      <t xml:space="preserve">扩展模块、中间继电器、接线端子、电源等
</t>
    </r>
    <r>
      <rPr>
        <sz val="9"/>
        <color rgb="FF1F4E79"/>
        <rFont val="Arial"/>
        <family val="0"/>
        <charset val="1"/>
      </rPr>
      <t xml:space="preserve">3. Tủ thành phẩm, bên trong gồm bộ điều khiển PLC, màn hình cảm ứng 10 inch, mô-đun mở rộng I/O, rơ le trung gian, cầu đấu dây, nguồn điện,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</si>
  <si>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PLC-1F03</t>
    </r>
    <r>
      <rPr>
        <sz val="9"/>
        <rFont val="WenQuanYi Zen Hei"/>
        <family val="2"/>
      </rPr>
      <t xml:space="preserve">～</t>
    </r>
    <r>
      <rPr>
        <sz val="9"/>
        <rFont val="宋体"/>
        <family val="0"/>
        <charset val="1"/>
      </rPr>
      <t xml:space="preserve">04</t>
    </r>
  </si>
  <si>
    <r>
      <rPr>
        <sz val="9"/>
        <rFont val="宋体"/>
        <family val="0"/>
        <charset val="1"/>
      </rPr>
      <t xml:space="preserve">1.</t>
    </r>
    <r>
      <rPr>
        <sz val="9"/>
        <rFont val="WenQuanYi Zen Hei"/>
        <family val="2"/>
      </rPr>
      <t xml:space="preserve">名称：</t>
    </r>
    <r>
      <rPr>
        <sz val="9"/>
        <rFont val="宋体"/>
        <family val="0"/>
        <charset val="1"/>
      </rPr>
      <t xml:space="preserve">PLC</t>
    </r>
    <r>
      <rPr>
        <sz val="9"/>
        <rFont val="WenQuanYi Zen Hei"/>
        <family val="2"/>
      </rPr>
      <t xml:space="preserve">自动控制柜
</t>
    </r>
    <r>
      <rPr>
        <sz val="9"/>
        <color rgb="FF1F4E79"/>
        <rFont val="Arial"/>
        <family val="0"/>
        <charset val="1"/>
      </rPr>
      <t xml:space="preserve">1. Tên: tủ điều khiển tự động PLC
</t>
    </r>
    <r>
      <rPr>
        <sz val="9"/>
        <rFont val="宋体"/>
        <family val="0"/>
        <charset val="1"/>
      </rPr>
      <t xml:space="preserve">2.</t>
    </r>
    <r>
      <rPr>
        <sz val="9"/>
        <rFont val="WenQuanYi Zen Hei"/>
        <family val="2"/>
      </rPr>
      <t xml:space="preserve">编号：</t>
    </r>
    <r>
      <rPr>
        <sz val="9"/>
        <rFont val="宋体"/>
        <family val="0"/>
        <charset val="1"/>
      </rPr>
      <t xml:space="preserve">PLC-1F03</t>
    </r>
    <r>
      <rPr>
        <sz val="9"/>
        <rFont val="WenQuanYi Zen Hei"/>
        <family val="2"/>
      </rPr>
      <t xml:space="preserve">～</t>
    </r>
    <r>
      <rPr>
        <sz val="9"/>
        <rFont val="宋体"/>
        <family val="0"/>
        <charset val="1"/>
      </rPr>
      <t xml:space="preserve">04
</t>
    </r>
    <r>
      <rPr>
        <sz val="9"/>
        <color rgb="FF1F4E79"/>
        <rFont val="Arial"/>
        <family val="0"/>
        <charset val="1"/>
      </rPr>
      <t xml:space="preserve">2. Mã hiệu: PLC-1F03</t>
    </r>
    <r>
      <rPr>
        <sz val="9"/>
        <color rgb="FF1F4E79"/>
        <rFont val="WenQuanYi Zen Hei"/>
        <family val="2"/>
      </rPr>
      <t xml:space="preserve">～</t>
    </r>
    <r>
      <rPr>
        <sz val="9"/>
        <color rgb="FF1F4E79"/>
        <rFont val="Arial"/>
        <family val="0"/>
        <charset val="1"/>
      </rPr>
      <t xml:space="preserve">04
</t>
    </r>
    <r>
      <rPr>
        <sz val="9"/>
        <rFont val="宋体"/>
        <family val="0"/>
        <charset val="1"/>
      </rPr>
      <t xml:space="preserve">3.</t>
    </r>
    <r>
      <rPr>
        <sz val="9"/>
        <rFont val="WenQuanYi Zen Hei"/>
        <family val="2"/>
      </rPr>
      <t xml:space="preserve">成品柜，内含</t>
    </r>
    <r>
      <rPr>
        <sz val="9"/>
        <rFont val="宋体"/>
        <family val="0"/>
        <charset val="1"/>
      </rPr>
      <t xml:space="preserve">PLC</t>
    </r>
    <r>
      <rPr>
        <sz val="9"/>
        <rFont val="WenQuanYi Zen Hei"/>
        <family val="2"/>
      </rPr>
      <t xml:space="preserve">控制器、</t>
    </r>
    <r>
      <rPr>
        <sz val="9"/>
        <rFont val="宋体"/>
        <family val="0"/>
        <charset val="1"/>
      </rPr>
      <t xml:space="preserve">10</t>
    </r>
    <r>
      <rPr>
        <sz val="9"/>
        <rFont val="WenQuanYi Zen Hei"/>
        <family val="2"/>
      </rPr>
      <t xml:space="preserve">英寸触摸屏、</t>
    </r>
    <r>
      <rPr>
        <sz val="9"/>
        <rFont val="宋体"/>
        <family val="0"/>
        <charset val="1"/>
      </rPr>
      <t xml:space="preserve">I/O</t>
    </r>
    <r>
      <rPr>
        <sz val="9"/>
        <rFont val="WenQuanYi Zen Hei"/>
        <family val="2"/>
      </rPr>
      <t xml:space="preserve">扩展模块、中间继电器、接线端子、电源等
</t>
    </r>
    <r>
      <rPr>
        <sz val="9"/>
        <color rgb="FF1F4E79"/>
        <rFont val="Arial"/>
        <family val="0"/>
        <charset val="1"/>
      </rPr>
      <t xml:space="preserve">3. Tủ thành phẩm, bên trong gồm bộ điều khiển PLC, màn hình cảm ứng 10 inch, mô-đun mở rộng I/O, rơ le trung gian, cầu đấu dây, nguồn điện,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</si>
  <si>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PLC-1F05</t>
    </r>
  </si>
  <si>
    <r>
      <rPr>
        <sz val="9"/>
        <rFont val="宋体"/>
        <family val="0"/>
        <charset val="1"/>
      </rPr>
      <t xml:space="preserve">1.</t>
    </r>
    <r>
      <rPr>
        <sz val="9"/>
        <rFont val="WenQuanYi Zen Hei"/>
        <family val="2"/>
      </rPr>
      <t xml:space="preserve">名称：</t>
    </r>
    <r>
      <rPr>
        <sz val="9"/>
        <rFont val="宋体"/>
        <family val="0"/>
        <charset val="1"/>
      </rPr>
      <t xml:space="preserve">PLC</t>
    </r>
    <r>
      <rPr>
        <sz val="9"/>
        <rFont val="WenQuanYi Zen Hei"/>
        <family val="2"/>
      </rPr>
      <t xml:space="preserve">自动控制柜
</t>
    </r>
    <r>
      <rPr>
        <sz val="9"/>
        <color rgb="FF1F4E79"/>
        <rFont val="Arial"/>
        <family val="0"/>
        <charset val="1"/>
      </rPr>
      <t xml:space="preserve">1. Tên: tủ điều khiển tự động PLC
</t>
    </r>
    <r>
      <rPr>
        <sz val="9"/>
        <rFont val="宋体"/>
        <family val="0"/>
        <charset val="1"/>
      </rPr>
      <t xml:space="preserve">2.</t>
    </r>
    <r>
      <rPr>
        <sz val="9"/>
        <rFont val="WenQuanYi Zen Hei"/>
        <family val="2"/>
      </rPr>
      <t xml:space="preserve">编号：</t>
    </r>
    <r>
      <rPr>
        <sz val="9"/>
        <rFont val="宋体"/>
        <family val="0"/>
        <charset val="1"/>
      </rPr>
      <t xml:space="preserve">PLC-1F05
</t>
    </r>
    <r>
      <rPr>
        <sz val="9"/>
        <color rgb="FF1F4E79"/>
        <rFont val="Arial"/>
        <family val="0"/>
        <charset val="1"/>
      </rPr>
      <t xml:space="preserve">2. Mã hiệu: PLC-1F05
</t>
    </r>
    <r>
      <rPr>
        <sz val="9"/>
        <rFont val="宋体"/>
        <family val="0"/>
        <charset val="1"/>
      </rPr>
      <t xml:space="preserve">3.</t>
    </r>
    <r>
      <rPr>
        <sz val="9"/>
        <rFont val="WenQuanYi Zen Hei"/>
        <family val="2"/>
      </rPr>
      <t xml:space="preserve">成品柜，内含</t>
    </r>
    <r>
      <rPr>
        <sz val="9"/>
        <rFont val="宋体"/>
        <family val="0"/>
        <charset val="1"/>
      </rPr>
      <t xml:space="preserve">PLC</t>
    </r>
    <r>
      <rPr>
        <sz val="9"/>
        <rFont val="WenQuanYi Zen Hei"/>
        <family val="2"/>
      </rPr>
      <t xml:space="preserve">控制器、</t>
    </r>
    <r>
      <rPr>
        <sz val="9"/>
        <rFont val="宋体"/>
        <family val="0"/>
        <charset val="1"/>
      </rPr>
      <t xml:space="preserve">10</t>
    </r>
    <r>
      <rPr>
        <sz val="9"/>
        <rFont val="WenQuanYi Zen Hei"/>
        <family val="2"/>
      </rPr>
      <t xml:space="preserve">英寸触摸屏、</t>
    </r>
    <r>
      <rPr>
        <sz val="9"/>
        <rFont val="宋体"/>
        <family val="0"/>
        <charset val="1"/>
      </rPr>
      <t xml:space="preserve">I/O</t>
    </r>
    <r>
      <rPr>
        <sz val="9"/>
        <rFont val="WenQuanYi Zen Hei"/>
        <family val="2"/>
      </rPr>
      <t xml:space="preserve">扩展模块、中间继电器、接线端子、电源等
</t>
    </r>
    <r>
      <rPr>
        <sz val="9"/>
        <color rgb="FF1F4E79"/>
        <rFont val="Arial"/>
        <family val="0"/>
        <charset val="1"/>
      </rPr>
      <t xml:space="preserve">3. Tủ thành phẩm, bên trong gồm bộ điều khiển PLC, màn hình cảm ứng 10 inch, mô-đun mở rộng I/O, rơ le trung gian, cầu đấu dây, nguồn điện,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</si>
  <si>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PLC-1F06</t>
    </r>
  </si>
  <si>
    <r>
      <rPr>
        <sz val="9"/>
        <rFont val="宋体"/>
        <family val="0"/>
        <charset val="1"/>
      </rPr>
      <t xml:space="preserve">1.</t>
    </r>
    <r>
      <rPr>
        <sz val="9"/>
        <rFont val="WenQuanYi Zen Hei"/>
        <family val="2"/>
      </rPr>
      <t xml:space="preserve">名称：</t>
    </r>
    <r>
      <rPr>
        <sz val="9"/>
        <rFont val="宋体"/>
        <family val="0"/>
        <charset val="1"/>
      </rPr>
      <t xml:space="preserve">PLC</t>
    </r>
    <r>
      <rPr>
        <sz val="9"/>
        <rFont val="WenQuanYi Zen Hei"/>
        <family val="2"/>
      </rPr>
      <t xml:space="preserve">自动控制柜
</t>
    </r>
    <r>
      <rPr>
        <sz val="9"/>
        <color rgb="FF1F4E79"/>
        <rFont val="Arial"/>
        <family val="0"/>
        <charset val="1"/>
      </rPr>
      <t xml:space="preserve">1. Tên: tủ điều khiển tự động PLC
</t>
    </r>
    <r>
      <rPr>
        <sz val="9"/>
        <rFont val="宋体"/>
        <family val="0"/>
        <charset val="1"/>
      </rPr>
      <t xml:space="preserve">2.</t>
    </r>
    <r>
      <rPr>
        <sz val="9"/>
        <rFont val="WenQuanYi Zen Hei"/>
        <family val="2"/>
      </rPr>
      <t xml:space="preserve">编号：</t>
    </r>
    <r>
      <rPr>
        <sz val="9"/>
        <rFont val="宋体"/>
        <family val="0"/>
        <charset val="1"/>
      </rPr>
      <t xml:space="preserve">PLC-1F06
</t>
    </r>
    <r>
      <rPr>
        <sz val="9"/>
        <color rgb="FF1F4E79"/>
        <rFont val="Arial"/>
        <family val="0"/>
        <charset val="1"/>
      </rPr>
      <t xml:space="preserve">2. Mã hiệu: PLC-1F06
</t>
    </r>
    <r>
      <rPr>
        <sz val="9"/>
        <rFont val="宋体"/>
        <family val="0"/>
        <charset val="1"/>
      </rPr>
      <t xml:space="preserve">3.</t>
    </r>
    <r>
      <rPr>
        <sz val="9"/>
        <rFont val="WenQuanYi Zen Hei"/>
        <family val="2"/>
      </rPr>
      <t xml:space="preserve">成品柜，内含</t>
    </r>
    <r>
      <rPr>
        <sz val="9"/>
        <rFont val="宋体"/>
        <family val="0"/>
        <charset val="1"/>
      </rPr>
      <t xml:space="preserve">PLC</t>
    </r>
    <r>
      <rPr>
        <sz val="9"/>
        <rFont val="WenQuanYi Zen Hei"/>
        <family val="2"/>
      </rPr>
      <t xml:space="preserve">控制器、</t>
    </r>
    <r>
      <rPr>
        <sz val="9"/>
        <rFont val="宋体"/>
        <family val="0"/>
        <charset val="1"/>
      </rPr>
      <t xml:space="preserve">10</t>
    </r>
    <r>
      <rPr>
        <sz val="9"/>
        <rFont val="WenQuanYi Zen Hei"/>
        <family val="2"/>
      </rPr>
      <t xml:space="preserve">英寸触摸屏、</t>
    </r>
    <r>
      <rPr>
        <sz val="9"/>
        <rFont val="宋体"/>
        <family val="0"/>
        <charset val="1"/>
      </rPr>
      <t xml:space="preserve">I/O</t>
    </r>
    <r>
      <rPr>
        <sz val="9"/>
        <rFont val="WenQuanYi Zen Hei"/>
        <family val="2"/>
      </rPr>
      <t xml:space="preserve">扩展模块、中间继电器、接线端子、电源等
</t>
    </r>
    <r>
      <rPr>
        <sz val="9"/>
        <color rgb="FF1F4E79"/>
        <rFont val="Arial"/>
        <family val="0"/>
        <charset val="1"/>
      </rPr>
      <t xml:space="preserve">3. Tủ thành phẩm, bên trong gồm bộ điều khiển PLC, màn hình cảm ứng 10 inch, mô-đun mở rộng I/O, rơ le trung gian, cầu đấu dây, nguồn điện,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</si>
  <si>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PLC-1F07</t>
    </r>
    <r>
      <rPr>
        <sz val="9"/>
        <rFont val="WenQuanYi Zen Hei"/>
        <family val="2"/>
      </rPr>
      <t xml:space="preserve">～</t>
    </r>
    <r>
      <rPr>
        <sz val="9"/>
        <rFont val="宋体"/>
        <family val="0"/>
        <charset val="1"/>
      </rPr>
      <t xml:space="preserve">08</t>
    </r>
  </si>
  <si>
    <r>
      <rPr>
        <sz val="9"/>
        <rFont val="宋体"/>
        <family val="0"/>
        <charset val="1"/>
      </rPr>
      <t xml:space="preserve">1.</t>
    </r>
    <r>
      <rPr>
        <sz val="9"/>
        <rFont val="WenQuanYi Zen Hei"/>
        <family val="2"/>
      </rPr>
      <t xml:space="preserve">名称：</t>
    </r>
    <r>
      <rPr>
        <sz val="9"/>
        <rFont val="宋体"/>
        <family val="0"/>
        <charset val="1"/>
      </rPr>
      <t xml:space="preserve">PLC</t>
    </r>
    <r>
      <rPr>
        <sz val="9"/>
        <rFont val="WenQuanYi Zen Hei"/>
        <family val="2"/>
      </rPr>
      <t xml:space="preserve">自动控制柜
</t>
    </r>
    <r>
      <rPr>
        <sz val="9"/>
        <color rgb="FF1F4E79"/>
        <rFont val="Arial"/>
        <family val="0"/>
        <charset val="1"/>
      </rPr>
      <t xml:space="preserve">1. Tên: tủ điều khiển tự động PLC
</t>
    </r>
    <r>
      <rPr>
        <sz val="9"/>
        <rFont val="宋体"/>
        <family val="0"/>
        <charset val="1"/>
      </rPr>
      <t xml:space="preserve">2.</t>
    </r>
    <r>
      <rPr>
        <sz val="9"/>
        <rFont val="WenQuanYi Zen Hei"/>
        <family val="2"/>
      </rPr>
      <t xml:space="preserve">编号：</t>
    </r>
    <r>
      <rPr>
        <sz val="9"/>
        <rFont val="宋体"/>
        <family val="0"/>
        <charset val="1"/>
      </rPr>
      <t xml:space="preserve">PLC-1F07</t>
    </r>
    <r>
      <rPr>
        <sz val="9"/>
        <rFont val="WenQuanYi Zen Hei"/>
        <family val="2"/>
      </rPr>
      <t xml:space="preserve">～</t>
    </r>
    <r>
      <rPr>
        <sz val="9"/>
        <rFont val="宋体"/>
        <family val="0"/>
        <charset val="1"/>
      </rPr>
      <t xml:space="preserve">08
</t>
    </r>
    <r>
      <rPr>
        <sz val="9"/>
        <color rgb="FF1F4E79"/>
        <rFont val="Arial"/>
        <family val="0"/>
        <charset val="1"/>
      </rPr>
      <t xml:space="preserve">2. Mã hiệu: PLC-1F07</t>
    </r>
    <r>
      <rPr>
        <sz val="9"/>
        <color rgb="FF1F4E79"/>
        <rFont val="WenQuanYi Zen Hei"/>
        <family val="2"/>
      </rPr>
      <t xml:space="preserve">～</t>
    </r>
    <r>
      <rPr>
        <sz val="9"/>
        <color rgb="FF1F4E79"/>
        <rFont val="Arial"/>
        <family val="0"/>
        <charset val="1"/>
      </rPr>
      <t xml:space="preserve">08
</t>
    </r>
    <r>
      <rPr>
        <sz val="9"/>
        <rFont val="宋体"/>
        <family val="0"/>
        <charset val="1"/>
      </rPr>
      <t xml:space="preserve">3.</t>
    </r>
    <r>
      <rPr>
        <sz val="9"/>
        <rFont val="WenQuanYi Zen Hei"/>
        <family val="2"/>
      </rPr>
      <t xml:space="preserve">成品柜，内含</t>
    </r>
    <r>
      <rPr>
        <sz val="9"/>
        <rFont val="宋体"/>
        <family val="0"/>
        <charset val="1"/>
      </rPr>
      <t xml:space="preserve">PLC</t>
    </r>
    <r>
      <rPr>
        <sz val="9"/>
        <rFont val="WenQuanYi Zen Hei"/>
        <family val="2"/>
      </rPr>
      <t xml:space="preserve">控制器、</t>
    </r>
    <r>
      <rPr>
        <sz val="9"/>
        <rFont val="宋体"/>
        <family val="0"/>
        <charset val="1"/>
      </rPr>
      <t xml:space="preserve">10</t>
    </r>
    <r>
      <rPr>
        <sz val="9"/>
        <rFont val="WenQuanYi Zen Hei"/>
        <family val="2"/>
      </rPr>
      <t xml:space="preserve">英寸触摸屏、</t>
    </r>
    <r>
      <rPr>
        <sz val="9"/>
        <rFont val="宋体"/>
        <family val="0"/>
        <charset val="1"/>
      </rPr>
      <t xml:space="preserve">I/O</t>
    </r>
    <r>
      <rPr>
        <sz val="9"/>
        <rFont val="WenQuanYi Zen Hei"/>
        <family val="2"/>
      </rPr>
      <t xml:space="preserve">扩展模块、中间继电器、接线端子、电源等
</t>
    </r>
    <r>
      <rPr>
        <sz val="9"/>
        <color rgb="FF1F4E79"/>
        <rFont val="Arial"/>
        <family val="0"/>
        <charset val="1"/>
      </rPr>
      <t xml:space="preserve">3. Tủ thành phẩm, bên trong gồm bộ điều khiển PLC, màn hình cảm ứng 10 inch, mô-đun mở rộng I/O, rơ le trung gian, cầu đấu dây, nguồn điện,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</si>
  <si>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WenQuanYi Zen Hei"/>
        <family val="2"/>
      </rPr>
      <t xml:space="preserve">风管式温湿度传感器
</t>
    </r>
    <r>
      <rPr>
        <sz val="9"/>
        <color rgb="FF1F4E79"/>
        <rFont val="Arial"/>
        <family val="0"/>
        <charset val="1"/>
      </rPr>
      <t xml:space="preserve">Cảm biến nhiệt độ, độ ẩm kiểu lắp ống gió</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</si>
  <si>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精度：温度</t>
    </r>
    <r>
      <rPr>
        <sz val="9"/>
        <rFont val="宋体"/>
        <family val="0"/>
        <charset val="1"/>
      </rPr>
      <t xml:space="preserve">0.3℃@40℃</t>
    </r>
    <r>
      <rPr>
        <sz val="9"/>
        <rFont val="WenQuanYi Zen Hei"/>
        <family val="2"/>
      </rPr>
      <t xml:space="preserve">，湿度</t>
    </r>
    <r>
      <rPr>
        <sz val="9"/>
        <rFont val="宋体"/>
        <family val="0"/>
        <charset val="1"/>
      </rPr>
      <t xml:space="preserve">±2%
</t>
    </r>
    <r>
      <rPr>
        <sz val="9"/>
        <color rgb="FF1F4E79"/>
        <rFont val="Arial"/>
        <family val="0"/>
        <charset val="1"/>
      </rPr>
      <t xml:space="preserve">2. Độ chính xác: nhiệt độ 0.3℃@40℃, độ ẩm ±2%
</t>
    </r>
    <r>
      <rPr>
        <sz val="9"/>
        <rFont val="宋体"/>
        <family val="0"/>
        <charset val="1"/>
      </rPr>
      <t xml:space="preserve">3.</t>
    </r>
    <r>
      <rPr>
        <sz val="9"/>
        <rFont val="WenQuanYi Zen Hei"/>
        <family val="2"/>
      </rPr>
      <t xml:space="preserve">信号输出：</t>
    </r>
    <r>
      <rPr>
        <sz val="9"/>
        <rFont val="宋体"/>
        <family val="0"/>
        <charset val="1"/>
      </rPr>
      <t xml:space="preserve">4-20mA
</t>
    </r>
    <r>
      <rPr>
        <sz val="9"/>
        <color rgb="FF1F4E79"/>
        <rFont val="Arial"/>
        <family val="0"/>
        <charset val="1"/>
      </rPr>
      <t xml:space="preserve">3. Tín hiệu đầu ra: 4-20mA
</t>
    </r>
    <r>
      <rPr>
        <sz val="9"/>
        <rFont val="宋体"/>
        <family val="0"/>
        <charset val="1"/>
      </rPr>
      <t xml:space="preserve">4.</t>
    </r>
    <r>
      <rPr>
        <sz val="9"/>
        <rFont val="WenQuanYi Zen Hei"/>
        <family val="2"/>
      </rPr>
      <t xml:space="preserve">安装方式：插入式
</t>
    </r>
    <r>
      <rPr>
        <sz val="9"/>
        <color rgb="FF1F4E79"/>
        <rFont val="Arial"/>
        <family val="0"/>
        <charset val="1"/>
      </rPr>
      <t xml:space="preserve">4. Phương thức lắp đặt: kiểu cắm
</t>
    </r>
    <r>
      <rPr>
        <sz val="9"/>
        <rFont val="宋体"/>
        <family val="0"/>
        <charset val="1"/>
      </rPr>
      <t xml:space="preserve">5.</t>
    </r>
    <r>
      <rPr>
        <sz val="9"/>
        <rFont val="WenQuanYi Zen Hei"/>
        <family val="2"/>
      </rPr>
      <t xml:space="preserve">附件：配底座
</t>
    </r>
    <r>
      <rPr>
        <sz val="9"/>
        <color rgb="FF1F4E79"/>
        <rFont val="Arial"/>
        <family val="0"/>
        <charset val="1"/>
      </rPr>
      <t xml:space="preserve">5. Phụ kiện: kèm đế</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</si>
  <si>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精度：温度</t>
    </r>
    <r>
      <rPr>
        <sz val="9"/>
        <rFont val="宋体"/>
        <family val="0"/>
        <charset val="1"/>
      </rPr>
      <t xml:space="preserve">0.3℃@25℃</t>
    </r>
    <r>
      <rPr>
        <sz val="9"/>
        <rFont val="WenQuanYi Zen Hei"/>
        <family val="2"/>
      </rPr>
      <t xml:space="preserve">，湿度</t>
    </r>
    <r>
      <rPr>
        <sz val="9"/>
        <rFont val="宋体"/>
        <family val="0"/>
        <charset val="1"/>
      </rPr>
      <t xml:space="preserve">±2%
</t>
    </r>
    <r>
      <rPr>
        <sz val="9"/>
        <color rgb="FF1F4E79"/>
        <rFont val="Arial"/>
        <family val="0"/>
        <charset val="1"/>
      </rPr>
      <t xml:space="preserve">2. Độ chính xác: nhiệt độ 0.3℃@25℃, độ ẩm ±2%
</t>
    </r>
    <r>
      <rPr>
        <sz val="9"/>
        <rFont val="宋体"/>
        <family val="0"/>
        <charset val="1"/>
      </rPr>
      <t xml:space="preserve">3.</t>
    </r>
    <r>
      <rPr>
        <sz val="9"/>
        <rFont val="WenQuanYi Zen Hei"/>
        <family val="2"/>
      </rPr>
      <t xml:space="preserve">信号输出：</t>
    </r>
    <r>
      <rPr>
        <sz val="9"/>
        <rFont val="宋体"/>
        <family val="0"/>
        <charset val="1"/>
      </rPr>
      <t xml:space="preserve">4-20mA
</t>
    </r>
    <r>
      <rPr>
        <sz val="9"/>
        <color rgb="FF1F4E79"/>
        <rFont val="Arial"/>
        <family val="0"/>
        <charset val="1"/>
      </rPr>
      <t xml:space="preserve">3. Tín hiệu đầu ra: 4-20mA
</t>
    </r>
    <r>
      <rPr>
        <sz val="9"/>
        <rFont val="宋体"/>
        <family val="0"/>
        <charset val="1"/>
      </rPr>
      <t xml:space="preserve">4.</t>
    </r>
    <r>
      <rPr>
        <sz val="9"/>
        <rFont val="WenQuanYi Zen Hei"/>
        <family val="2"/>
      </rPr>
      <t xml:space="preserve">安装方式：插入式
</t>
    </r>
    <r>
      <rPr>
        <sz val="9"/>
        <color rgb="FF1F4E79"/>
        <rFont val="Arial"/>
        <family val="0"/>
        <charset val="1"/>
      </rPr>
      <t xml:space="preserve">4. Phương thức lắp đặt: kiểu cắm
</t>
    </r>
    <r>
      <rPr>
        <sz val="9"/>
        <rFont val="宋体"/>
        <family val="0"/>
        <charset val="1"/>
      </rPr>
      <t xml:space="preserve">5.</t>
    </r>
    <r>
      <rPr>
        <sz val="9"/>
        <rFont val="WenQuanYi Zen Hei"/>
        <family val="2"/>
      </rPr>
      <t xml:space="preserve">附件：配底座
</t>
    </r>
    <r>
      <rPr>
        <sz val="9"/>
        <color rgb="FF1F4E79"/>
        <rFont val="Arial"/>
        <family val="0"/>
        <charset val="1"/>
      </rPr>
      <t xml:space="preserve">5. Phụ kiện: kèm đế</t>
    </r>
  </si>
  <si>
    <r>
      <rPr>
        <sz val="9"/>
        <rFont val="WenQuanYi Zen Hei"/>
        <family val="2"/>
      </rPr>
      <t xml:space="preserve">风管式压力传感器
</t>
    </r>
    <r>
      <rPr>
        <sz val="9"/>
        <color rgb="FF1F4E79"/>
        <rFont val="Arial"/>
        <family val="0"/>
        <charset val="1"/>
      </rPr>
      <t xml:space="preserve">Cảm biến áp suất kiểu lắp ống gió</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</si>
  <si>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量程：</t>
    </r>
    <r>
      <rPr>
        <sz val="9"/>
        <rFont val="宋体"/>
        <family val="0"/>
        <charset val="1"/>
      </rPr>
      <t xml:space="preserve">0</t>
    </r>
    <r>
      <rPr>
        <sz val="9"/>
        <rFont val="WenQuanYi Zen Hei"/>
        <family val="2"/>
      </rPr>
      <t xml:space="preserve">～</t>
    </r>
    <r>
      <rPr>
        <sz val="9"/>
        <rFont val="宋体"/>
        <family val="0"/>
        <charset val="1"/>
      </rPr>
      <t xml:space="preserve">1000Pa
</t>
    </r>
    <r>
      <rPr>
        <sz val="9"/>
        <color rgb="FF1F4E79"/>
        <rFont val="Arial"/>
        <family val="0"/>
        <charset val="1"/>
      </rPr>
      <t xml:space="preserve">2. Dải đo: 0</t>
    </r>
    <r>
      <rPr>
        <sz val="9"/>
        <color rgb="FF1F4E79"/>
        <rFont val="WenQuanYi Zen Hei"/>
        <family val="2"/>
      </rPr>
      <t xml:space="preserve">～</t>
    </r>
    <r>
      <rPr>
        <sz val="9"/>
        <color rgb="FF1F4E79"/>
        <rFont val="Arial"/>
        <family val="0"/>
        <charset val="1"/>
      </rPr>
      <t xml:space="preserve">1000Pa
</t>
    </r>
    <r>
      <rPr>
        <sz val="9"/>
        <rFont val="宋体"/>
        <family val="0"/>
        <charset val="1"/>
      </rPr>
      <t xml:space="preserve">3.</t>
    </r>
    <r>
      <rPr>
        <sz val="9"/>
        <rFont val="WenQuanYi Zen Hei"/>
        <family val="2"/>
      </rPr>
      <t xml:space="preserve">精度：</t>
    </r>
    <r>
      <rPr>
        <sz val="9"/>
        <rFont val="宋体"/>
        <family val="0"/>
        <charset val="1"/>
      </rPr>
      <t xml:space="preserve">±1%
</t>
    </r>
    <r>
      <rPr>
        <sz val="9"/>
        <color rgb="FF1F4E79"/>
        <rFont val="Arial"/>
        <family val="0"/>
        <charset val="1"/>
      </rPr>
      <t xml:space="preserve">3. Độ chính xác: ±1%
</t>
    </r>
    <r>
      <rPr>
        <sz val="9"/>
        <rFont val="宋体"/>
        <family val="0"/>
        <charset val="1"/>
      </rPr>
      <t xml:space="preserve">4.</t>
    </r>
    <r>
      <rPr>
        <sz val="9"/>
        <rFont val="WenQuanYi Zen Hei"/>
        <family val="2"/>
      </rPr>
      <t xml:space="preserve">信号输出：</t>
    </r>
    <r>
      <rPr>
        <sz val="9"/>
        <rFont val="宋体"/>
        <family val="0"/>
        <charset val="1"/>
      </rPr>
      <t xml:space="preserve">4-20mA
</t>
    </r>
    <r>
      <rPr>
        <sz val="9"/>
        <color rgb="FF1F4E79"/>
        <rFont val="Arial"/>
        <family val="0"/>
        <charset val="1"/>
      </rPr>
      <t xml:space="preserve">4. Tín hiệu đầu ra: 4-20mA
</t>
    </r>
    <r>
      <rPr>
        <sz val="9"/>
        <rFont val="宋体"/>
        <family val="0"/>
        <charset val="1"/>
      </rPr>
      <t xml:space="preserve">5.</t>
    </r>
    <r>
      <rPr>
        <sz val="9"/>
        <rFont val="WenQuanYi Zen Hei"/>
        <family val="2"/>
      </rPr>
      <t xml:space="preserve">安装方式：插入式
</t>
    </r>
    <r>
      <rPr>
        <sz val="9"/>
        <color rgb="FF1F4E79"/>
        <rFont val="Arial"/>
        <family val="0"/>
        <charset val="1"/>
      </rPr>
      <t xml:space="preserve">5. Phương thức lắp đặt: kiểu cắm
</t>
    </r>
    <r>
      <rPr>
        <sz val="9"/>
        <rFont val="宋体"/>
        <family val="0"/>
        <charset val="1"/>
      </rPr>
      <t xml:space="preserve">6.</t>
    </r>
    <r>
      <rPr>
        <sz val="9"/>
        <rFont val="WenQuanYi Zen Hei"/>
        <family val="2"/>
      </rPr>
      <t xml:space="preserve">附件：配底座
</t>
    </r>
    <r>
      <rPr>
        <sz val="9"/>
        <color rgb="FF1F4E79"/>
        <rFont val="Arial"/>
        <family val="0"/>
        <charset val="1"/>
      </rPr>
      <t xml:space="preserve">6. Phụ kiện: kèm đế</t>
    </r>
  </si>
  <si>
    <r>
      <rPr>
        <sz val="9"/>
        <rFont val="WenQuanYi Zen Hei"/>
        <family val="2"/>
      </rPr>
      <t xml:space="preserve">压差开关报警传感器
</t>
    </r>
    <r>
      <rPr>
        <sz val="9"/>
        <color rgb="FF1F4E79"/>
        <rFont val="Arial"/>
        <family val="0"/>
        <charset val="1"/>
      </rPr>
      <t xml:space="preserve">Cảm biến báo động công tắc chênh áp</t>
    </r>
  </si>
  <si>
    <r>
      <rPr>
        <sz val="9"/>
        <rFont val="宋体"/>
        <family val="0"/>
        <charset val="1"/>
      </rPr>
      <t xml:space="preserve">1.</t>
    </r>
    <r>
      <rPr>
        <sz val="9"/>
        <rFont val="WenQuanYi Zen Hei"/>
        <family val="2"/>
      </rPr>
      <t xml:space="preserve">供电电源：</t>
    </r>
    <r>
      <rPr>
        <sz val="9"/>
        <rFont val="宋体"/>
        <family val="0"/>
        <charset val="1"/>
      </rPr>
      <t xml:space="preserve">24VDC
</t>
    </r>
    <r>
      <rPr>
        <sz val="9"/>
        <color rgb="FF1F4E79"/>
        <rFont val="Arial"/>
        <family val="0"/>
        <charset val="1"/>
      </rPr>
      <t xml:space="preserve">1. Nguồn cấp điện: 24VDC
</t>
    </r>
    <r>
      <rPr>
        <sz val="9"/>
        <rFont val="宋体"/>
        <family val="0"/>
        <charset val="1"/>
      </rPr>
      <t xml:space="preserve">2.</t>
    </r>
    <r>
      <rPr>
        <sz val="9"/>
        <rFont val="WenQuanYi Zen Hei"/>
        <family val="2"/>
      </rPr>
      <t xml:space="preserve">量程：</t>
    </r>
    <r>
      <rPr>
        <sz val="9"/>
        <rFont val="宋体"/>
        <family val="0"/>
        <charset val="1"/>
      </rPr>
      <t xml:space="preserve">0</t>
    </r>
    <r>
      <rPr>
        <sz val="9"/>
        <rFont val="WenQuanYi Zen Hei"/>
        <family val="2"/>
      </rPr>
      <t xml:space="preserve">～</t>
    </r>
    <r>
      <rPr>
        <sz val="9"/>
        <rFont val="宋体"/>
        <family val="0"/>
        <charset val="1"/>
      </rPr>
      <t xml:space="preserve">200Pa
</t>
    </r>
    <r>
      <rPr>
        <sz val="9"/>
        <color rgb="FF1F4E79"/>
        <rFont val="Arial"/>
        <family val="0"/>
        <charset val="1"/>
      </rPr>
      <t xml:space="preserve">2. Dải đo: 0</t>
    </r>
    <r>
      <rPr>
        <sz val="9"/>
        <color rgb="FF1F4E79"/>
        <rFont val="WenQuanYi Zen Hei"/>
        <family val="2"/>
      </rPr>
      <t xml:space="preserve">～</t>
    </r>
    <r>
      <rPr>
        <sz val="9"/>
        <color rgb="FF1F4E79"/>
        <rFont val="Arial"/>
        <family val="0"/>
        <charset val="1"/>
      </rPr>
      <t xml:space="preserve">200Pa
</t>
    </r>
    <r>
      <rPr>
        <sz val="9"/>
        <rFont val="宋体"/>
        <family val="0"/>
        <charset val="1"/>
      </rPr>
      <t xml:space="preserve">3.</t>
    </r>
    <r>
      <rPr>
        <sz val="9"/>
        <rFont val="WenQuanYi Zen Hei"/>
        <family val="2"/>
      </rPr>
      <t xml:space="preserve">精度：</t>
    </r>
    <r>
      <rPr>
        <sz val="9"/>
        <rFont val="宋体"/>
        <family val="0"/>
        <charset val="1"/>
      </rPr>
      <t xml:space="preserve">±1%
</t>
    </r>
    <r>
      <rPr>
        <sz val="9"/>
        <color rgb="FF1F4E79"/>
        <rFont val="Arial"/>
        <family val="0"/>
        <charset val="1"/>
      </rPr>
      <t xml:space="preserve">3. Độ chính xác: ±1%
</t>
    </r>
    <r>
      <rPr>
        <sz val="9"/>
        <rFont val="宋体"/>
        <family val="0"/>
        <charset val="1"/>
      </rPr>
      <t xml:space="preserve">4.</t>
    </r>
    <r>
      <rPr>
        <sz val="9"/>
        <rFont val="WenQuanYi Zen Hei"/>
        <family val="2"/>
      </rPr>
      <t xml:space="preserve">信号输出：</t>
    </r>
    <r>
      <rPr>
        <sz val="9"/>
        <rFont val="宋体"/>
        <family val="0"/>
        <charset val="1"/>
      </rPr>
      <t xml:space="preserve">4-20mA
</t>
    </r>
    <r>
      <rPr>
        <sz val="9"/>
        <color rgb="FF1F4E79"/>
        <rFont val="Arial"/>
        <family val="0"/>
        <charset val="1"/>
      </rPr>
      <t xml:space="preserve">4. Tín hiệu đầu ra: 4-20mA
</t>
    </r>
    <r>
      <rPr>
        <sz val="9"/>
        <rFont val="宋体"/>
        <family val="0"/>
        <charset val="1"/>
      </rPr>
      <t xml:space="preserve">5.</t>
    </r>
    <r>
      <rPr>
        <sz val="9"/>
        <rFont val="WenQuanYi Zen Hei"/>
        <family val="2"/>
      </rPr>
      <t xml:space="preserve">安装方式：插入式
</t>
    </r>
    <r>
      <rPr>
        <sz val="9"/>
        <color rgb="FF1F4E79"/>
        <rFont val="Arial"/>
        <family val="0"/>
        <charset val="1"/>
      </rPr>
      <t xml:space="preserve">5. Phương thức lắp đặt: kiểu cắm
</t>
    </r>
    <r>
      <rPr>
        <sz val="9"/>
        <rFont val="宋体"/>
        <family val="0"/>
        <charset val="1"/>
      </rPr>
      <t xml:space="preserve">6.</t>
    </r>
    <r>
      <rPr>
        <sz val="9"/>
        <rFont val="WenQuanYi Zen Hei"/>
        <family val="2"/>
      </rPr>
      <t xml:space="preserve">附件：配底座
</t>
    </r>
    <r>
      <rPr>
        <sz val="9"/>
        <color rgb="FF1F4E79"/>
        <rFont val="Arial"/>
        <family val="0"/>
        <charset val="1"/>
      </rPr>
      <t xml:space="preserve">6. Phụ kiện: kèm đế</t>
    </r>
  </si>
  <si>
    <r>
      <rPr>
        <sz val="9"/>
        <rFont val="WenQuanYi Zen Hei"/>
        <family val="2"/>
      </rPr>
      <t xml:space="preserve">空气处理机组液晶温控面板
</t>
    </r>
    <r>
      <rPr>
        <sz val="9"/>
        <color rgb="FF1F4E79"/>
        <rFont val="Arial"/>
        <family val="0"/>
        <charset val="1"/>
      </rPr>
      <t xml:space="preserve">Bảng điều khiển nhiệt độ màn hình LCD cho cụm xử lý không khí</t>
    </r>
  </si>
  <si>
    <r>
      <rPr>
        <sz val="9"/>
        <rFont val="宋体"/>
        <family val="0"/>
        <charset val="1"/>
      </rPr>
      <t xml:space="preserve">1.</t>
    </r>
    <r>
      <rPr>
        <sz val="9"/>
        <rFont val="WenQuanYi Zen Hei"/>
        <family val="2"/>
      </rPr>
      <t xml:space="preserve">名称：液晶温控面板
</t>
    </r>
    <r>
      <rPr>
        <sz val="9"/>
        <color rgb="FF1F4E79"/>
        <rFont val="Arial"/>
        <family val="0"/>
        <charset val="1"/>
      </rPr>
      <t xml:space="preserve">1. Tên: bảng điều khiển nhiệt độ màn hình LCD
</t>
    </r>
    <r>
      <rPr>
        <sz val="9"/>
        <rFont val="宋体"/>
        <family val="0"/>
        <charset val="1"/>
      </rPr>
      <t xml:space="preserve">2.</t>
    </r>
    <r>
      <rPr>
        <sz val="9"/>
        <rFont val="WenQuanYi Zen Hei"/>
        <family val="2"/>
      </rPr>
      <t xml:space="preserve">规格：模拟调节型
</t>
    </r>
    <r>
      <rPr>
        <sz val="9"/>
        <color rgb="FF1F4E79"/>
        <rFont val="Arial"/>
        <family val="0"/>
        <charset val="1"/>
      </rPr>
      <t xml:space="preserve">2. Quy cách: loại điều chỉnh tương tự (analog)</t>
    </r>
  </si>
  <si>
    <r>
      <rPr>
        <sz val="9"/>
        <rFont val="WenQuanYi Zen Hei"/>
        <family val="2"/>
      </rPr>
      <t xml:space="preserve">江森、霍尼韦尔
</t>
    </r>
    <r>
      <rPr>
        <sz val="9"/>
        <color rgb="FF1F4E79"/>
        <rFont val="Arial"/>
        <family val="0"/>
        <charset val="1"/>
      </rPr>
      <t xml:space="preserve">Johnson Controls, Honeywell</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</si>
  <si>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控制线缆
</t>
    </r>
    <r>
      <rPr>
        <sz val="9"/>
        <color rgb="FF1F4E79"/>
        <rFont val="Arial"/>
        <family val="0"/>
        <charset val="1"/>
      </rPr>
      <t xml:space="preserve">1. Tên: cáp điều khiển
</t>
    </r>
    <r>
      <rPr>
        <sz val="9"/>
        <rFont val="宋体"/>
        <family val="0"/>
        <charset val="1"/>
      </rPr>
      <t xml:space="preserve">2.</t>
    </r>
    <r>
      <rPr>
        <sz val="9"/>
        <rFont val="WenQuanYi Zen Hei"/>
        <family val="2"/>
      </rPr>
      <t xml:space="preserve">规格</t>
    </r>
    <r>
      <rPr>
        <sz val="9"/>
        <rFont val="宋体"/>
        <family val="0"/>
        <charset val="1"/>
      </rPr>
      <t xml:space="preserve">:RVV-4*1.0
</t>
    </r>
    <r>
      <rPr>
        <sz val="9"/>
        <color rgb="FF1F4E79"/>
        <rFont val="Arial"/>
        <family val="0"/>
        <charset val="1"/>
      </rPr>
      <t xml:space="preserve">2. Quy cách: RVV-4*1.0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</si>
  <si>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WenQuanYi Zen Hei"/>
        <family val="2"/>
      </rPr>
      <t xml:space="preserve">控制柜钢构支架
</t>
    </r>
    <r>
      <rPr>
        <sz val="9"/>
        <color rgb="FF1F4E79"/>
        <rFont val="Arial"/>
        <family val="0"/>
        <charset val="1"/>
      </rPr>
      <t xml:space="preserve">Giá đỡ kết cấu thép cho tủ điều khiển</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</si>
  <si>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钢构支架 
</t>
    </r>
    <r>
      <rPr>
        <sz val="9"/>
        <color rgb="FF1F4E79"/>
        <rFont val="Arial"/>
        <family val="0"/>
        <charset val="1"/>
      </rPr>
      <t xml:space="preserve">1. Hình thức: giá đỡ kết cấu thép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镀锌槽钢
</t>
    </r>
    <r>
      <rPr>
        <sz val="9"/>
        <color rgb="FF1F4E79"/>
        <rFont val="Arial"/>
        <family val="0"/>
        <charset val="1"/>
      </rPr>
      <t xml:space="preserve">2. Vật liệu: thép chữ U mạ kẽm</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</si>
  <si>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镀锌角钢、丝杆
</t>
    </r>
    <r>
      <rPr>
        <sz val="9"/>
        <color rgb="FF1F4E79"/>
        <rFont val="Arial"/>
        <family val="0"/>
        <charset val="1"/>
      </rPr>
      <t xml:space="preserve">2. Vật liệu: thép góc mạ kẽm, ty ren</t>
    </r>
  </si>
  <si>
    <r>
      <rPr>
        <b val="true"/>
        <sz val="9"/>
        <rFont val="WenQuanYi Zen Hei"/>
        <family val="2"/>
      </rPr>
      <t xml:space="preserve">六、
</t>
    </r>
    <r>
      <rPr>
        <b val="true"/>
        <sz val="9"/>
        <color rgb="FF1F4E79"/>
        <rFont val="Arial"/>
        <family val="0"/>
        <charset val="1"/>
      </rPr>
      <t xml:space="preserve">VI.</t>
    </r>
  </si>
  <si>
    <r>
      <rPr>
        <b val="true"/>
        <sz val="9"/>
        <rFont val="WenQuanYi Zen Hei"/>
        <family val="2"/>
      </rPr>
      <t xml:space="preserve">合计（一</t>
    </r>
    <r>
      <rPr>
        <b val="true"/>
        <sz val="9"/>
        <rFont val="宋体"/>
        <family val="0"/>
        <charset val="1"/>
      </rPr>
      <t xml:space="preserve">+</t>
    </r>
    <r>
      <rPr>
        <b val="true"/>
        <sz val="9"/>
        <rFont val="WenQuanYi Zen Hei"/>
        <family val="2"/>
      </rPr>
      <t xml:space="preserve">二</t>
    </r>
    <r>
      <rPr>
        <b val="true"/>
        <sz val="9"/>
        <rFont val="宋体"/>
        <family val="0"/>
        <charset val="1"/>
      </rPr>
      <t xml:space="preserve">+</t>
    </r>
    <r>
      <rPr>
        <b val="true"/>
        <sz val="9"/>
        <rFont val="WenQuanYi Zen Hei"/>
        <family val="2"/>
      </rPr>
      <t xml:space="preserve">三</t>
    </r>
    <r>
      <rPr>
        <b val="true"/>
        <sz val="9"/>
        <rFont val="宋体"/>
        <family val="0"/>
        <charset val="1"/>
      </rPr>
      <t xml:space="preserve">+</t>
    </r>
    <r>
      <rPr>
        <b val="true"/>
        <sz val="9"/>
        <rFont val="WenQuanYi Zen Hei"/>
        <family val="2"/>
      </rPr>
      <t xml:space="preserve">四</t>
    </r>
    <r>
      <rPr>
        <b val="true"/>
        <sz val="9"/>
        <rFont val="宋体"/>
        <family val="0"/>
        <charset val="1"/>
      </rPr>
      <t xml:space="preserve">+</t>
    </r>
    <r>
      <rPr>
        <b val="true"/>
        <sz val="9"/>
        <rFont val="WenQuanYi Zen Hei"/>
        <family val="2"/>
      </rPr>
      <t xml:space="preserve">五</t>
    </r>
    <r>
      <rPr>
        <b val="true"/>
        <sz val="9"/>
        <rFont val="宋体"/>
        <family val="0"/>
        <charset val="1"/>
      </rPr>
      <t xml:space="preserve">+</t>
    </r>
    <r>
      <rPr>
        <b val="true"/>
        <sz val="9"/>
        <rFont val="WenQuanYi Zen Hei"/>
        <family val="2"/>
      </rPr>
      <t xml:space="preserve">六）：
</t>
    </r>
    <r>
      <rPr>
        <b val="true"/>
        <sz val="9"/>
        <color rgb="FF1F4E79"/>
        <rFont val="Arial"/>
        <family val="0"/>
        <charset val="1"/>
      </rPr>
      <t xml:space="preserve">Tổng cộng (I+II+III+IV+V+VI):</t>
    </r>
  </si>
  <si>
    <r>
      <rPr>
        <b val="true"/>
        <sz val="9"/>
        <rFont val="WenQuanYi Zen Hei"/>
        <family val="2"/>
      </rPr>
      <t xml:space="preserve">工程名称：</t>
    </r>
    <r>
      <rPr>
        <b val="true"/>
        <sz val="9"/>
        <rFont val="宋体"/>
        <family val="0"/>
        <charset val="1"/>
      </rPr>
      <t xml:space="preserve">MS1</t>
    </r>
    <r>
      <rPr>
        <b val="true"/>
        <sz val="9"/>
        <rFont val="WenQuanYi Zen Hei"/>
        <family val="2"/>
      </rPr>
      <t xml:space="preserve">一楼空调末端系统工程
</t>
    </r>
    <r>
      <rPr>
        <b val="true"/>
        <sz val="9"/>
        <color rgb="FF1F4E79"/>
        <rFont val="Arial"/>
        <family val="0"/>
        <charset val="1"/>
      </rPr>
      <t xml:space="preserve">Tên công trình: Công trình hệ thống thiết bị đầu cuối điều hòa MS1 tầng 1</t>
    </r>
  </si>
  <si>
    <r>
      <rPr>
        <sz val="9"/>
        <rFont val="WenQuanYi Zen Hei"/>
        <family val="2"/>
      </rPr>
      <t xml:space="preserve">吊顶式恒温恒湿空气处理机组
</t>
    </r>
    <r>
      <rPr>
        <sz val="9"/>
        <color rgb="FF1F4E79"/>
        <rFont val="Arial"/>
        <family val="0"/>
        <charset val="1"/>
      </rPr>
      <t xml:space="preserve">Cụm xử lý không khí (AHU) nhiệt độ ổn định, độ ẩm ổn định kiểu treo trần
</t>
    </r>
    <r>
      <rPr>
        <sz val="9"/>
        <rFont val="宋体"/>
        <family val="0"/>
        <charset val="1"/>
      </rPr>
      <t xml:space="preserve">AHU-200H</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</si>
  <si>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吊顶式恒温恒湿空气处理机组
</t>
    </r>
    <r>
      <rPr>
        <sz val="9"/>
        <color rgb="FF1F4E79"/>
        <rFont val="Arial"/>
        <family val="0"/>
        <charset val="1"/>
      </rPr>
      <t xml:space="preserve">1. Tên: cụm xử lý không khí (AHU) nhiệt độ ổn định, độ ẩm ổn định kiểu treo trần
</t>
    </r>
    <r>
      <rPr>
        <sz val="9"/>
        <rFont val="宋体"/>
        <family val="0"/>
        <charset val="1"/>
      </rPr>
      <t xml:space="preserve">2.</t>
    </r>
    <r>
      <rPr>
        <sz val="9"/>
        <rFont val="WenQuanYi Zen Hei"/>
        <family val="2"/>
      </rPr>
      <t xml:space="preserve">编号</t>
    </r>
    <r>
      <rPr>
        <sz val="9"/>
        <rFont val="宋体"/>
        <family val="0"/>
        <charset val="1"/>
      </rPr>
      <t xml:space="preserve">:AHU-200H
</t>
    </r>
    <r>
      <rPr>
        <sz val="9"/>
        <color rgb="FF1F4E79"/>
        <rFont val="Arial"/>
        <family val="0"/>
        <charset val="1"/>
      </rPr>
      <t xml:space="preserve">2. Mã hiệu: AHU-200H
</t>
    </r>
    <r>
      <rPr>
        <sz val="9"/>
        <rFont val="WenQuanYi Zen Hei"/>
        <family val="2"/>
      </rPr>
      <t xml:space="preserve">送风量</t>
    </r>
    <r>
      <rPr>
        <sz val="9"/>
        <rFont val="宋体"/>
        <family val="0"/>
        <charset val="1"/>
      </rPr>
      <t xml:space="preserve">20000m3/h</t>
    </r>
    <r>
      <rPr>
        <sz val="9"/>
        <rFont val="WenQuanYi Zen Hei"/>
        <family val="2"/>
      </rPr>
      <t xml:space="preserve">，新风量</t>
    </r>
    <r>
      <rPr>
        <sz val="9"/>
        <rFont val="宋体"/>
        <family val="0"/>
        <charset val="1"/>
      </rPr>
      <t xml:space="preserve">2000m3/h</t>
    </r>
    <r>
      <rPr>
        <sz val="9"/>
        <rFont val="WenQuanYi Zen Hei"/>
        <family val="2"/>
      </rPr>
      <t xml:space="preserve">，回风量</t>
    </r>
    <r>
      <rPr>
        <sz val="9"/>
        <rFont val="宋体"/>
        <family val="0"/>
        <charset val="1"/>
      </rPr>
      <t xml:space="preserve">18000m3/h</t>
    </r>
    <r>
      <rPr>
        <sz val="9"/>
        <rFont val="WenQuanYi Zen Hei"/>
        <family val="2"/>
      </rPr>
      <t xml:space="preserve">，制冷量</t>
    </r>
    <r>
      <rPr>
        <sz val="9"/>
        <rFont val="宋体"/>
        <family val="0"/>
        <charset val="1"/>
      </rPr>
      <t xml:space="preserve">124kW</t>
    </r>
    <r>
      <rPr>
        <sz val="9"/>
        <rFont val="WenQuanYi Zen Hei"/>
        <family val="2"/>
      </rPr>
      <t xml:space="preserve">，蒸汽加热量</t>
    </r>
    <r>
      <rPr>
        <sz val="9"/>
        <rFont val="宋体"/>
        <family val="0"/>
        <charset val="1"/>
      </rPr>
      <t xml:space="preserve">60kW</t>
    </r>
    <r>
      <rPr>
        <sz val="9"/>
        <rFont val="WenQuanYi Zen Hei"/>
        <family val="2"/>
      </rPr>
      <t xml:space="preserve">，蒸汽加湿量</t>
    </r>
    <r>
      <rPr>
        <sz val="9"/>
        <rFont val="宋体"/>
        <family val="0"/>
        <charset val="1"/>
      </rPr>
      <t xml:space="preserve">30kg/h</t>
    </r>
    <r>
      <rPr>
        <sz val="9"/>
        <rFont val="WenQuanYi Zen Hei"/>
        <family val="2"/>
      </rPr>
      <t xml:space="preserve">，机外静压</t>
    </r>
    <r>
      <rPr>
        <sz val="9"/>
        <rFont val="宋体"/>
        <family val="0"/>
        <charset val="1"/>
      </rPr>
      <t xml:space="preserve">500Pa</t>
    </r>
    <r>
      <rPr>
        <sz val="9"/>
        <rFont val="WenQuanYi Zen Hei"/>
        <family val="2"/>
      </rPr>
      <t xml:space="preserve">，电机功率</t>
    </r>
    <r>
      <rPr>
        <sz val="9"/>
        <rFont val="宋体"/>
        <family val="0"/>
        <charset val="1"/>
      </rPr>
      <t xml:space="preserve">11kW</t>
    </r>
    <r>
      <rPr>
        <sz val="9"/>
        <rFont val="WenQuanYi Zen Hei"/>
        <family val="2"/>
      </rPr>
      <t xml:space="preserve">，变频电机，输入电压</t>
    </r>
    <r>
      <rPr>
        <sz val="9"/>
        <rFont val="宋体"/>
        <family val="0"/>
        <charset val="1"/>
      </rPr>
      <t xml:space="preserve">380V/50Hz</t>
    </r>
    <r>
      <rPr>
        <sz val="9"/>
        <rFont val="WenQuanYi Zen Hei"/>
        <family val="2"/>
      </rPr>
      <t xml:space="preserve">，重量约</t>
    </r>
    <r>
      <rPr>
        <sz val="9"/>
        <rFont val="宋体"/>
        <family val="0"/>
        <charset val="1"/>
      </rPr>
      <t xml:space="preserve">1008kg
</t>
    </r>
    <r>
      <rPr>
        <sz val="9"/>
        <color rgb="FF1F4E79"/>
        <rFont val="Arial"/>
        <family val="0"/>
        <charset val="1"/>
      </rPr>
      <t xml:space="preserve">Lưu lượng gió cấp 20000m3/h, lưu lượng gió tươi 2000m3/h, lưu lượng gió hồi 18000m3/h, công suất lạnh 124kW, công suất gia nhiệt bằng hơi nước 60kW, lượng gia ẩm bằng hơi nước 30kg/h, áp suất tĩnh ngoài máy 500Pa, công suất động cơ 11kW, động cơ biến tần, điện áp đầu vào 380V/50Hz, trọng lượng khoảng 1008kg
</t>
    </r>
    <r>
      <rPr>
        <sz val="9"/>
        <rFont val="宋体"/>
        <family val="0"/>
        <charset val="1"/>
      </rPr>
      <t xml:space="preserve">3.</t>
    </r>
    <r>
      <rPr>
        <sz val="9"/>
        <rFont val="WenQuanYi Zen Hei"/>
        <family val="2"/>
      </rPr>
      <t xml:space="preserve">功能段</t>
    </r>
    <r>
      <rPr>
        <sz val="9"/>
        <rFont val="宋体"/>
        <family val="0"/>
        <charset val="1"/>
      </rPr>
      <t xml:space="preserve">:</t>
    </r>
    <r>
      <rPr>
        <sz val="9"/>
        <rFont val="WenQuanYi Zen Hei"/>
        <family val="2"/>
      </rPr>
      <t xml:space="preserve">新回风混合段</t>
    </r>
    <r>
      <rPr>
        <sz val="9"/>
        <rFont val="宋体"/>
        <family val="0"/>
        <charset val="1"/>
      </rPr>
      <t xml:space="preserve">+G4</t>
    </r>
    <r>
      <rPr>
        <sz val="9"/>
        <rFont val="WenQuanYi Zen Hei"/>
        <family val="2"/>
      </rPr>
      <t xml:space="preserve">初效段</t>
    </r>
    <r>
      <rPr>
        <sz val="9"/>
        <rFont val="宋体"/>
        <family val="0"/>
        <charset val="1"/>
      </rPr>
      <t xml:space="preserve">+F7</t>
    </r>
    <r>
      <rPr>
        <sz val="9"/>
        <rFont val="WenQuanYi Zen Hei"/>
        <family val="2"/>
      </rPr>
      <t xml:space="preserve">中效段</t>
    </r>
    <r>
      <rPr>
        <sz val="9"/>
        <rFont val="宋体"/>
        <family val="0"/>
        <charset val="1"/>
      </rPr>
      <t xml:space="preserve">+</t>
    </r>
    <r>
      <rPr>
        <sz val="9"/>
        <rFont val="WenQuanYi Zen Hei"/>
        <family val="2"/>
      </rPr>
      <t xml:space="preserve">表冷段</t>
    </r>
    <r>
      <rPr>
        <sz val="9"/>
        <rFont val="宋体"/>
        <family val="0"/>
        <charset val="1"/>
      </rPr>
      <t xml:space="preserve">+</t>
    </r>
    <r>
      <rPr>
        <sz val="9"/>
        <rFont val="WenQuanYi Zen Hei"/>
        <family val="2"/>
      </rPr>
      <t xml:space="preserve">加热段</t>
    </r>
    <r>
      <rPr>
        <sz val="9"/>
        <rFont val="宋体"/>
        <family val="0"/>
        <charset val="1"/>
      </rPr>
      <t xml:space="preserve">+</t>
    </r>
    <r>
      <rPr>
        <sz val="9"/>
        <rFont val="WenQuanYi Zen Hei"/>
        <family val="2"/>
      </rPr>
      <t xml:space="preserve">加湿段</t>
    </r>
    <r>
      <rPr>
        <sz val="9"/>
        <rFont val="宋体"/>
        <family val="0"/>
        <charset val="1"/>
      </rPr>
      <t xml:space="preserve">+</t>
    </r>
    <r>
      <rPr>
        <sz val="9"/>
        <rFont val="WenQuanYi Zen Hei"/>
        <family val="2"/>
      </rPr>
      <t xml:space="preserve">风机送风段
</t>
    </r>
    <r>
      <rPr>
        <sz val="9"/>
        <color rgb="FF1F4E79"/>
        <rFont val="Arial"/>
        <family val="0"/>
        <charset val="1"/>
      </rPr>
      <t xml:space="preserve">3. Các khoang chức năng: khoang hòa trộn gió tươi/gió hồi + khoang lọc sơ cấp G4 + khoang lọc trung cấp F7 + khoang dàn lạnh bề mặt + khoang gia nhiệt + khoang gia ẩm + khoang quạt cấp gió
</t>
    </r>
    <r>
      <rPr>
        <sz val="9"/>
        <rFont val="宋体"/>
        <family val="0"/>
        <charset val="1"/>
      </rPr>
      <t xml:space="preserve">4.</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4. Hình thức lắp đặt: treo trần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</si>
  <si>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吊顶式恒温恒湿空气处理机组
</t>
    </r>
    <r>
      <rPr>
        <sz val="9"/>
        <color rgb="FF1F4E79"/>
        <rFont val="Arial"/>
        <family val="0"/>
        <charset val="1"/>
      </rPr>
      <t xml:space="preserve">Cụm xử lý không khí (AHU) nhiệt độ ổn định, độ ẩm ổn định kiểu treo trần
</t>
    </r>
    <r>
      <rPr>
        <sz val="9"/>
        <rFont val="宋体"/>
        <family val="0"/>
        <charset val="1"/>
      </rPr>
      <t xml:space="preserve">AHU-200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</si>
  <si>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吊顶式恒温恒湿空气处理机组
</t>
    </r>
    <r>
      <rPr>
        <sz val="9"/>
        <color rgb="FF1F4E79"/>
        <rFont val="Arial"/>
        <family val="0"/>
        <charset val="1"/>
      </rPr>
      <t xml:space="preserve">1. Tên: cụm xử lý không khí (AHU) nhiệt độ ổn định, độ ẩm ổn định kiểu treo trần
</t>
    </r>
    <r>
      <rPr>
        <sz val="9"/>
        <rFont val="宋体"/>
        <family val="0"/>
        <charset val="1"/>
      </rPr>
      <t xml:space="preserve">2.</t>
    </r>
    <r>
      <rPr>
        <sz val="9"/>
        <rFont val="WenQuanYi Zen Hei"/>
        <family val="2"/>
      </rPr>
      <t xml:space="preserve">编号</t>
    </r>
    <r>
      <rPr>
        <sz val="9"/>
        <rFont val="宋体"/>
        <family val="0"/>
        <charset val="1"/>
      </rPr>
      <t xml:space="preserve">:AHU-200
</t>
    </r>
    <r>
      <rPr>
        <sz val="9"/>
        <color rgb="FF1F4E79"/>
        <rFont val="Arial"/>
        <family val="0"/>
        <charset val="1"/>
      </rPr>
      <t xml:space="preserve">2. Mã hiệu: AHU-200
</t>
    </r>
    <r>
      <rPr>
        <sz val="9"/>
        <rFont val="WenQuanYi Zen Hei"/>
        <family val="2"/>
      </rPr>
      <t xml:space="preserve">送风量</t>
    </r>
    <r>
      <rPr>
        <sz val="9"/>
        <rFont val="宋体"/>
        <family val="0"/>
        <charset val="1"/>
      </rPr>
      <t xml:space="preserve">20000m3/h</t>
    </r>
    <r>
      <rPr>
        <sz val="9"/>
        <rFont val="WenQuanYi Zen Hei"/>
        <family val="2"/>
      </rPr>
      <t xml:space="preserve">，新风量</t>
    </r>
    <r>
      <rPr>
        <sz val="9"/>
        <rFont val="宋体"/>
        <family val="0"/>
        <charset val="1"/>
      </rPr>
      <t xml:space="preserve">2000m3/h</t>
    </r>
    <r>
      <rPr>
        <sz val="9"/>
        <rFont val="WenQuanYi Zen Hei"/>
        <family val="2"/>
      </rPr>
      <t xml:space="preserve">，回风量</t>
    </r>
    <r>
      <rPr>
        <sz val="9"/>
        <rFont val="宋体"/>
        <family val="0"/>
        <charset val="1"/>
      </rPr>
      <t xml:space="preserve">18000m3/h</t>
    </r>
    <r>
      <rPr>
        <sz val="9"/>
        <rFont val="WenQuanYi Zen Hei"/>
        <family val="2"/>
      </rPr>
      <t xml:space="preserve">，制冷量</t>
    </r>
    <r>
      <rPr>
        <sz val="9"/>
        <rFont val="宋体"/>
        <family val="0"/>
        <charset val="1"/>
      </rPr>
      <t xml:space="preserve">124kW</t>
    </r>
    <r>
      <rPr>
        <sz val="9"/>
        <rFont val="WenQuanYi Zen Hei"/>
        <family val="2"/>
      </rPr>
      <t xml:space="preserve">，蒸汽加热量</t>
    </r>
    <r>
      <rPr>
        <sz val="9"/>
        <rFont val="宋体"/>
        <family val="0"/>
        <charset val="1"/>
      </rPr>
      <t xml:space="preserve">60kW</t>
    </r>
    <r>
      <rPr>
        <sz val="9"/>
        <rFont val="WenQuanYi Zen Hei"/>
        <family val="2"/>
      </rPr>
      <t xml:space="preserve">，蒸汽加湿量</t>
    </r>
    <r>
      <rPr>
        <sz val="9"/>
        <rFont val="宋体"/>
        <family val="0"/>
        <charset val="1"/>
      </rPr>
      <t xml:space="preserve">30kg/h</t>
    </r>
    <r>
      <rPr>
        <sz val="9"/>
        <rFont val="WenQuanYi Zen Hei"/>
        <family val="2"/>
      </rPr>
      <t xml:space="preserve">，机外静压</t>
    </r>
    <r>
      <rPr>
        <sz val="9"/>
        <rFont val="宋体"/>
        <family val="0"/>
        <charset val="1"/>
      </rPr>
      <t xml:space="preserve">240Pa</t>
    </r>
    <r>
      <rPr>
        <sz val="9"/>
        <rFont val="WenQuanYi Zen Hei"/>
        <family val="2"/>
      </rPr>
      <t xml:space="preserve">，电机功率</t>
    </r>
    <r>
      <rPr>
        <sz val="9"/>
        <rFont val="宋体"/>
        <family val="0"/>
        <charset val="1"/>
      </rPr>
      <t xml:space="preserve">7.5kW</t>
    </r>
    <r>
      <rPr>
        <sz val="9"/>
        <rFont val="WenQuanYi Zen Hei"/>
        <family val="2"/>
      </rPr>
      <t xml:space="preserve">，变频电机，输入电压</t>
    </r>
    <r>
      <rPr>
        <sz val="9"/>
        <rFont val="宋体"/>
        <family val="0"/>
        <charset val="1"/>
      </rPr>
      <t xml:space="preserve">380V/50Hz</t>
    </r>
    <r>
      <rPr>
        <sz val="9"/>
        <rFont val="WenQuanYi Zen Hei"/>
        <family val="2"/>
      </rPr>
      <t xml:space="preserve">，重量约</t>
    </r>
    <r>
      <rPr>
        <sz val="9"/>
        <rFont val="宋体"/>
        <family val="0"/>
        <charset val="1"/>
      </rPr>
      <t xml:space="preserve">796kg
</t>
    </r>
    <r>
      <rPr>
        <sz val="9"/>
        <color rgb="FF1F4E79"/>
        <rFont val="Arial"/>
        <family val="0"/>
        <charset val="1"/>
      </rPr>
      <t xml:space="preserve">Lưu lượng gió cấp 20000m3/h, lưu lượng gió tươi 2000m3/h, lưu lượng gió hồi 18000m3/h, công suất lạnh 124kW, công suất gia nhiệt bằng hơi nước 60kW, lượng gia ẩm bằng hơi nước 30kg/h, áp suất tĩnh ngoài máy 240Pa, công suất động cơ 7.5kW, động cơ biến tần, điện áp đầu vào 380V/50Hz, trọng lượng khoảng 796kg
</t>
    </r>
    <r>
      <rPr>
        <sz val="9"/>
        <rFont val="宋体"/>
        <family val="0"/>
        <charset val="1"/>
      </rPr>
      <t xml:space="preserve">3.</t>
    </r>
    <r>
      <rPr>
        <sz val="9"/>
        <rFont val="WenQuanYi Zen Hei"/>
        <family val="2"/>
      </rPr>
      <t xml:space="preserve">功能段</t>
    </r>
    <r>
      <rPr>
        <sz val="9"/>
        <rFont val="宋体"/>
        <family val="0"/>
        <charset val="1"/>
      </rPr>
      <t xml:space="preserve">:</t>
    </r>
    <r>
      <rPr>
        <sz val="9"/>
        <rFont val="WenQuanYi Zen Hei"/>
        <family val="2"/>
      </rPr>
      <t xml:space="preserve">新回风混合段</t>
    </r>
    <r>
      <rPr>
        <sz val="9"/>
        <rFont val="宋体"/>
        <family val="0"/>
        <charset val="1"/>
      </rPr>
      <t xml:space="preserve">+G4</t>
    </r>
    <r>
      <rPr>
        <sz val="9"/>
        <rFont val="WenQuanYi Zen Hei"/>
        <family val="2"/>
      </rPr>
      <t xml:space="preserve">初效段</t>
    </r>
    <r>
      <rPr>
        <sz val="9"/>
        <rFont val="宋体"/>
        <family val="0"/>
        <charset val="1"/>
      </rPr>
      <t xml:space="preserve">+</t>
    </r>
    <r>
      <rPr>
        <sz val="9"/>
        <rFont val="WenQuanYi Zen Hei"/>
        <family val="2"/>
      </rPr>
      <t xml:space="preserve">表冷段</t>
    </r>
    <r>
      <rPr>
        <sz val="9"/>
        <rFont val="宋体"/>
        <family val="0"/>
        <charset val="1"/>
      </rPr>
      <t xml:space="preserve">+</t>
    </r>
    <r>
      <rPr>
        <sz val="9"/>
        <rFont val="WenQuanYi Zen Hei"/>
        <family val="2"/>
      </rPr>
      <t xml:space="preserve">加热段</t>
    </r>
    <r>
      <rPr>
        <sz val="9"/>
        <rFont val="宋体"/>
        <family val="0"/>
        <charset val="1"/>
      </rPr>
      <t xml:space="preserve">+</t>
    </r>
    <r>
      <rPr>
        <sz val="9"/>
        <rFont val="WenQuanYi Zen Hei"/>
        <family val="2"/>
      </rPr>
      <t xml:space="preserve">加湿段</t>
    </r>
    <r>
      <rPr>
        <sz val="9"/>
        <rFont val="宋体"/>
        <family val="0"/>
        <charset val="1"/>
      </rPr>
      <t xml:space="preserve">+</t>
    </r>
    <r>
      <rPr>
        <sz val="9"/>
        <rFont val="WenQuanYi Zen Hei"/>
        <family val="2"/>
      </rPr>
      <t xml:space="preserve">风机送风段
</t>
    </r>
    <r>
      <rPr>
        <sz val="9"/>
        <color rgb="FF1F4E79"/>
        <rFont val="Arial"/>
        <family val="0"/>
        <charset val="1"/>
      </rPr>
      <t xml:space="preserve">3. Các khoang chức năng: khoang hòa trộn gió tươi/gió hồi + khoang lọc sơ cấp G4 + khoang dàn lạnh bề mặt + khoang gia nhiệt + khoang gia ẩm + khoang quạt cấp gió
</t>
    </r>
    <r>
      <rPr>
        <sz val="9"/>
        <rFont val="宋体"/>
        <family val="0"/>
        <charset val="1"/>
      </rPr>
      <t xml:space="preserve">4.</t>
    </r>
    <r>
      <rPr>
        <sz val="9"/>
        <rFont val="WenQuanYi Zen Hei"/>
        <family val="2"/>
      </rPr>
      <t xml:space="preserve">安装形式</t>
    </r>
    <r>
      <rPr>
        <sz val="9"/>
        <rFont val="宋体"/>
        <family val="0"/>
        <charset val="1"/>
      </rPr>
      <t xml:space="preserve">:</t>
    </r>
    <r>
      <rPr>
        <sz val="9"/>
        <rFont val="WenQuanYi Zen Hei"/>
        <family val="2"/>
      </rPr>
      <t xml:space="preserve">吊顶式
</t>
    </r>
    <r>
      <rPr>
        <sz val="9"/>
        <color rgb="FF1F4E79"/>
        <rFont val="Arial"/>
        <family val="0"/>
        <charset val="1"/>
      </rPr>
      <t xml:space="preserve">4. Hình thức lắp đặt: treo trần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</si>
  <si>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吊顶式恒温恒湿空气处理机组</t>
    </r>
    <r>
      <rPr>
        <sz val="9"/>
        <rFont val="宋体"/>
        <family val="0"/>
        <charset val="1"/>
      </rPr>
      <t xml:space="preserve">AHU-200H</t>
    </r>
    <r>
      <rPr>
        <sz val="9"/>
        <rFont val="WenQuanYi Zen Hei"/>
        <family val="2"/>
      </rPr>
      <t xml:space="preserve">安装支吊架
</t>
    </r>
    <r>
      <rPr>
        <sz val="9"/>
        <color rgb="FF1F4E79"/>
        <rFont val="Arial"/>
        <family val="0"/>
        <charset val="1"/>
      </rPr>
      <t xml:space="preserve">Giá treo đỡ lắp đặt cụm xử lý không khí nhiệt độ ổn định, độ ẩm ổn định kiểu treo trần AHU-200H
</t>
    </r>
  </si>
  <si>
    <r>
      <rPr>
        <sz val="9"/>
        <rFont val="WenQuanYi Zen Hei"/>
        <family val="2"/>
      </rPr>
      <t xml:space="preserve">吊顶式恒温恒湿空气处理机组</t>
    </r>
    <r>
      <rPr>
        <sz val="9"/>
        <rFont val="宋体"/>
        <family val="0"/>
        <charset val="1"/>
      </rPr>
      <t xml:space="preserve">AHU-200</t>
    </r>
    <r>
      <rPr>
        <sz val="9"/>
        <rFont val="WenQuanYi Zen Hei"/>
        <family val="2"/>
      </rPr>
      <t xml:space="preserve">安装支吊架
</t>
    </r>
    <r>
      <rPr>
        <sz val="9"/>
        <color rgb="FF1F4E79"/>
        <rFont val="Arial"/>
        <family val="0"/>
        <charset val="1"/>
      </rPr>
      <t xml:space="preserve">Giá treo đỡ lắp đặt cụm xử lý không khí nhiệt độ ổn định, độ ẩm ổn định kiểu treo trần AHU-200
</t>
    </r>
  </si>
  <si>
    <r>
      <rPr>
        <sz val="9"/>
        <rFont val="宋体"/>
        <family val="0"/>
        <charset val="1"/>
      </rPr>
      <t xml:space="preserve">1.</t>
    </r>
    <r>
      <rPr>
        <sz val="9"/>
        <rFont val="WenQuanYi Zen Hei"/>
        <family val="2"/>
      </rPr>
      <t xml:space="preserve">形式</t>
    </r>
    <r>
      <rPr>
        <sz val="9"/>
        <rFont val="宋体"/>
        <family val="0"/>
        <charset val="1"/>
      </rPr>
      <t xml:space="preserve">:</t>
    </r>
    <r>
      <rPr>
        <sz val="9"/>
        <rFont val="WenQuanYi Zen Hei"/>
        <family val="2"/>
      </rPr>
      <t xml:space="preserve">吊托支架
</t>
    </r>
    <r>
      <rPr>
        <sz val="9"/>
        <color rgb="FF1F4E79"/>
        <rFont val="Arial"/>
        <family val="0"/>
        <charset val="1"/>
      </rPr>
      <t xml:space="preserve">1. Hình thức: giá treo, giá đỡ
</t>
    </r>
    <r>
      <rPr>
        <sz val="9"/>
        <rFont val="宋体"/>
        <family val="0"/>
        <charset val="1"/>
      </rPr>
      <t xml:space="preserve">2.</t>
    </r>
    <r>
      <rPr>
        <sz val="9"/>
        <rFont val="WenQuanYi Zen Hei"/>
        <family val="2"/>
      </rPr>
      <t xml:space="preserve">材质</t>
    </r>
    <r>
      <rPr>
        <sz val="9"/>
        <rFont val="宋体"/>
        <family val="0"/>
        <charset val="1"/>
      </rPr>
      <t xml:space="preserve">:12#</t>
    </r>
    <r>
      <rPr>
        <sz val="9"/>
        <rFont val="WenQuanYi Zen Hei"/>
        <family val="2"/>
      </rPr>
      <t xml:space="preserve">槽钢，方形钢板
</t>
    </r>
    <r>
      <rPr>
        <sz val="9"/>
        <color rgb="FF1F4E79"/>
        <rFont val="Arial"/>
        <family val="0"/>
        <charset val="1"/>
      </rPr>
      <t xml:space="preserve">2. Vật liệu: thép chữ U số 12#, thép tấm vuông
</t>
    </r>
    <r>
      <rPr>
        <sz val="9"/>
        <rFont val="宋体"/>
        <family val="0"/>
        <charset val="1"/>
      </rPr>
      <t xml:space="preserve">3.</t>
    </r>
    <r>
      <rPr>
        <sz val="9"/>
        <rFont val="WenQuanYi Zen Hei"/>
        <family val="2"/>
      </rPr>
      <t xml:space="preserve">除锈、刷油</t>
    </r>
    <r>
      <rPr>
        <sz val="9"/>
        <rFont val="宋体"/>
        <family val="0"/>
        <charset val="1"/>
      </rPr>
      <t xml:space="preserve">:</t>
    </r>
    <r>
      <rPr>
        <sz val="9"/>
        <rFont val="WenQuanYi Zen Hei"/>
        <family val="2"/>
      </rPr>
      <t xml:space="preserve">手工除锈，防锈漆、调和漆各二道
</t>
    </r>
    <r>
      <rPr>
        <sz val="9"/>
        <color rgb="FF1F4E79"/>
        <rFont val="Arial"/>
        <family val="0"/>
        <charset val="1"/>
      </rPr>
      <t xml:space="preserve">3. Tẩy gỉ, sơn: tẩy gỉ thủ công, sơn chống gỉ và sơn hoàn thiện mỗi loại hai lớp
</t>
    </r>
    <r>
      <rPr>
        <sz val="9"/>
        <rFont val="宋体"/>
        <family val="0"/>
        <charset val="1"/>
      </rPr>
      <t xml:space="preserve">4.</t>
    </r>
    <r>
      <rPr>
        <sz val="9"/>
        <rFont val="WenQuanYi Zen Hei"/>
        <family val="2"/>
      </rPr>
      <t xml:space="preserve">含减震弹簧
</t>
    </r>
    <r>
      <rPr>
        <sz val="9"/>
        <color rgb="FF1F4E79"/>
        <rFont val="Arial"/>
        <family val="0"/>
        <charset val="1"/>
      </rPr>
      <t xml:space="preserve">4. Bao gồm lò xo giảm chấn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</si>
  <si>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静压箱
</t>
    </r>
    <r>
      <rPr>
        <sz val="9"/>
        <color rgb="FF1F4E79"/>
        <rFont val="Arial"/>
        <family val="0"/>
        <charset val="1"/>
      </rPr>
      <t xml:space="preserve">1. Tên: hộp tĩnh áp (plenum)
</t>
    </r>
    <r>
      <rPr>
        <sz val="9"/>
        <rFont val="宋体"/>
        <family val="0"/>
        <charset val="1"/>
      </rPr>
      <t xml:space="preserve">2.</t>
    </r>
    <r>
      <rPr>
        <sz val="9"/>
        <rFont val="WenQuanYi Zen Hei"/>
        <family val="2"/>
      </rPr>
      <t xml:space="preserve">材质</t>
    </r>
    <r>
      <rPr>
        <sz val="9"/>
        <rFont val="宋体"/>
        <family val="0"/>
        <charset val="1"/>
      </rPr>
      <t xml:space="preserve">:</t>
    </r>
    <r>
      <rPr>
        <sz val="9"/>
        <rFont val="WenQuanYi Zen Hei"/>
        <family val="2"/>
      </rPr>
      <t xml:space="preserve">镀锌薄钢板
</t>
    </r>
    <r>
      <rPr>
        <sz val="9"/>
        <color rgb="FF1F4E79"/>
        <rFont val="Arial"/>
        <family val="0"/>
        <charset val="1"/>
      </rPr>
      <t xml:space="preserve">2. Vật liệu: thép tấm mỏng mạ kẽm
</t>
    </r>
    <r>
      <rPr>
        <sz val="9"/>
        <rFont val="宋体"/>
        <family val="0"/>
        <charset val="1"/>
      </rPr>
      <t xml:space="preserve">3.</t>
    </r>
    <r>
      <rPr>
        <sz val="9"/>
        <rFont val="WenQuanYi Zen Hei"/>
        <family val="2"/>
      </rPr>
      <t xml:space="preserve">规格</t>
    </r>
    <r>
      <rPr>
        <sz val="9"/>
        <rFont val="宋体"/>
        <family val="0"/>
        <charset val="1"/>
      </rPr>
      <t xml:space="preserve">:2300*1200*1000
</t>
    </r>
    <r>
      <rPr>
        <sz val="9"/>
        <color rgb="FF1F4E79"/>
        <rFont val="Arial"/>
        <family val="0"/>
        <charset val="1"/>
      </rPr>
      <t xml:space="preserve">3. Quy cách: 2300*1200*1000
</t>
    </r>
    <r>
      <rPr>
        <sz val="9"/>
        <rFont val="宋体"/>
        <family val="0"/>
        <charset val="1"/>
      </rPr>
      <t xml:space="preserve">4.</t>
    </r>
    <r>
      <rPr>
        <sz val="9"/>
        <rFont val="WenQuanYi Zen Hei"/>
        <family val="2"/>
      </rPr>
      <t xml:space="preserve">形状</t>
    </r>
    <r>
      <rPr>
        <sz val="9"/>
        <rFont val="宋体"/>
        <family val="0"/>
        <charset val="1"/>
      </rPr>
      <t xml:space="preserve">:</t>
    </r>
    <r>
      <rPr>
        <sz val="9"/>
        <rFont val="WenQuanYi Zen Hei"/>
        <family val="2"/>
      </rPr>
      <t xml:space="preserve">矩形
</t>
    </r>
    <r>
      <rPr>
        <sz val="9"/>
        <color rgb="FF1F4E79"/>
        <rFont val="Arial"/>
        <family val="0"/>
        <charset val="1"/>
      </rPr>
      <t xml:space="preserve">4. Hình dạng: chữ nhật
</t>
    </r>
    <r>
      <rPr>
        <sz val="9"/>
        <rFont val="宋体"/>
        <family val="0"/>
        <charset val="1"/>
      </rPr>
      <t xml:space="preserve">5.</t>
    </r>
    <r>
      <rPr>
        <sz val="9"/>
        <rFont val="WenQuanYi Zen Hei"/>
        <family val="2"/>
      </rPr>
      <t xml:space="preserve">接口形式</t>
    </r>
    <r>
      <rPr>
        <sz val="9"/>
        <rFont val="宋体"/>
        <family val="0"/>
        <charset val="1"/>
      </rPr>
      <t xml:space="preserve">:</t>
    </r>
    <r>
      <rPr>
        <sz val="9"/>
        <rFont val="WenQuanYi Zen Hei"/>
        <family val="2"/>
      </rPr>
      <t xml:space="preserve">咬口连接
</t>
    </r>
    <r>
      <rPr>
        <sz val="9"/>
        <color rgb="FF1F4E79"/>
        <rFont val="Arial"/>
        <family val="0"/>
        <charset val="1"/>
      </rPr>
      <t xml:space="preserve">5. Hình thức mối nối: nối ghép mí
</t>
    </r>
    <r>
      <rPr>
        <sz val="9"/>
        <rFont val="宋体"/>
        <family val="0"/>
        <charset val="1"/>
      </rPr>
      <t xml:space="preserve">6.</t>
    </r>
    <r>
      <rPr>
        <sz val="9"/>
        <rFont val="WenQuanYi Zen Hei"/>
        <family val="2"/>
      </rPr>
      <t xml:space="preserve">板材厚度</t>
    </r>
    <r>
      <rPr>
        <sz val="9"/>
        <rFont val="宋体"/>
        <family val="0"/>
        <charset val="1"/>
      </rPr>
      <t xml:space="preserve">:δ=1.2mm
</t>
    </r>
    <r>
      <rPr>
        <sz val="9"/>
        <color rgb="FF1F4E79"/>
        <rFont val="Arial"/>
        <family val="0"/>
        <charset val="1"/>
      </rPr>
      <t xml:space="preserve">6. Độ dày tấm: δ=1.2mm
</t>
    </r>
    <r>
      <rPr>
        <sz val="9"/>
        <rFont val="宋体"/>
        <family val="0"/>
        <charset val="1"/>
      </rPr>
      <t xml:space="preserve">7.</t>
    </r>
    <r>
      <rPr>
        <sz val="9"/>
        <rFont val="WenQuanYi Zen Hei"/>
        <family val="2"/>
      </rPr>
      <t xml:space="preserve">保温材质</t>
    </r>
    <r>
      <rPr>
        <sz val="9"/>
        <rFont val="宋体"/>
        <family val="0"/>
        <charset val="1"/>
      </rPr>
      <t xml:space="preserve">:B1</t>
    </r>
    <r>
      <rPr>
        <sz val="9"/>
        <rFont val="WenQuanYi Zen Hei"/>
        <family val="2"/>
      </rPr>
      <t xml:space="preserve">级橡塑保温棉</t>
    </r>
    <r>
      <rPr>
        <sz val="9"/>
        <rFont val="宋体"/>
        <family val="0"/>
        <charset val="1"/>
      </rPr>
      <t xml:space="preserve">δ=25mm
</t>
    </r>
    <r>
      <rPr>
        <sz val="9"/>
        <color rgb="FF1F4E79"/>
        <rFont val="Arial"/>
        <family val="0"/>
        <charset val="1"/>
      </rPr>
      <t xml:space="preserve">7. Vật liệu bảo ôn: bông bảo ôn cao su xốp cấp B1 δ=25mm
</t>
    </r>
    <r>
      <rPr>
        <sz val="9"/>
        <rFont val="宋体"/>
        <family val="0"/>
        <charset val="1"/>
      </rPr>
      <t xml:space="preserve">8.</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8. Khác: phù hợp với yêu cầu của bản vẽ thiết kế và quy phạm thi công</t>
    </r>
  </si>
  <si>
    <r>
      <rPr>
        <sz val="9"/>
        <rFont val="WenQuanYi Zen Hei"/>
        <family val="2"/>
      </rPr>
      <t xml:space="preserve">保温：</t>
    </r>
    <r>
      <rPr>
        <sz val="9"/>
        <rFont val="宋体"/>
        <family val="0"/>
        <charset val="1"/>
      </rPr>
      <t xml:space="preserve">Ord</t>
    </r>
    <r>
      <rPr>
        <sz val="9"/>
        <rFont val="WenQuanYi Zen Hei"/>
        <family val="2"/>
      </rPr>
      <t xml:space="preserve">、贝柠、华美、派柏士
</t>
    </r>
    <r>
      <rPr>
        <sz val="9"/>
        <color rgb="FF1F4E79"/>
        <rFont val="Arial"/>
        <family val="0"/>
        <charset val="1"/>
      </rPr>
      <t xml:space="preserve">Bảo ôn: Ord, Beining, Huamei, Paibaishi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</si>
  <si>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14m
</t>
    </r>
    <r>
      <rPr>
        <sz val="9"/>
        <color rgb="FF1F4E79"/>
        <rFont val="Arial"/>
        <family val="0"/>
        <charset val="1"/>
      </rPr>
      <t xml:space="preserve">3. Quy cách: φ900, chiều dài 14m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</si>
  <si>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12m
</t>
    </r>
    <r>
      <rPr>
        <sz val="9"/>
        <color rgb="FF1F4E79"/>
        <rFont val="Arial"/>
        <family val="0"/>
        <charset val="1"/>
      </rPr>
      <t xml:space="preserve">3. Quy cách: φ900, chiều dài 12m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</si>
  <si>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t>
    </r>
    <r>
      <rPr>
        <sz val="9"/>
        <rFont val="WenQuanYi Zen Hei"/>
        <family val="2"/>
      </rPr>
      <t xml:space="preserve">，长度</t>
    </r>
    <r>
      <rPr>
        <sz val="9"/>
        <rFont val="宋体"/>
        <family val="0"/>
        <charset val="1"/>
      </rPr>
      <t xml:space="preserve">11m
</t>
    </r>
    <r>
      <rPr>
        <sz val="9"/>
        <color rgb="FF1F4E79"/>
        <rFont val="Arial"/>
        <family val="0"/>
        <charset val="1"/>
      </rPr>
      <t xml:space="preserve">3. Quy cách: φ900, chiều dài 11m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</si>
  <si>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:φ750</t>
    </r>
    <r>
      <rPr>
        <sz val="9"/>
        <rFont val="WenQuanYi Zen Hei"/>
        <family val="2"/>
      </rPr>
      <t xml:space="preserve">，长度</t>
    </r>
    <r>
      <rPr>
        <sz val="9"/>
        <rFont val="宋体"/>
        <family val="0"/>
        <charset val="1"/>
      </rPr>
      <t xml:space="preserve">12m
</t>
    </r>
    <r>
      <rPr>
        <sz val="9"/>
        <color rgb="FF1F4E79"/>
        <rFont val="Arial"/>
        <family val="0"/>
        <charset val="1"/>
      </rPr>
      <t xml:space="preserve">3. Quy cách: φ750, chiều dài 12m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</si>
  <si>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
</t>
    </r>
    <r>
      <rPr>
        <sz val="9"/>
        <color rgb="FF1F4E79"/>
        <rFont val="Arial"/>
        <family val="0"/>
        <charset val="1"/>
      </rPr>
      <t xml:space="preserve">1. Tên: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:φ600</t>
    </r>
    <r>
      <rPr>
        <sz val="9"/>
        <rFont val="WenQuanYi Zen Hei"/>
        <family val="2"/>
      </rPr>
      <t xml:space="preserve">，长度</t>
    </r>
    <r>
      <rPr>
        <sz val="9"/>
        <rFont val="宋体"/>
        <family val="0"/>
        <charset val="1"/>
      </rPr>
      <t xml:space="preserve">10m
</t>
    </r>
    <r>
      <rPr>
        <sz val="9"/>
        <color rgb="FF1F4E79"/>
        <rFont val="Arial"/>
        <family val="0"/>
        <charset val="1"/>
      </rPr>
      <t xml:space="preserve">3. Quy cách: φ600, chiều dài 10m
</t>
    </r>
    <r>
      <rPr>
        <sz val="9"/>
        <rFont val="宋体"/>
        <family val="0"/>
        <charset val="1"/>
      </rPr>
      <t xml:space="preserve">4.</t>
    </r>
    <r>
      <rPr>
        <sz val="9"/>
        <rFont val="WenQuanYi Zen Hei"/>
        <family val="2"/>
      </rPr>
      <t xml:space="preserve">含挂钩、挂环、内支撑等
</t>
    </r>
    <r>
      <rPr>
        <sz val="9"/>
        <color rgb="FF1F4E79"/>
        <rFont val="Arial"/>
        <family val="0"/>
        <charset val="1"/>
      </rPr>
      <t xml:space="preserve">4. Bao gồm móc treo, vòng treo, khung đỡ trong, v.v.
</t>
    </r>
    <r>
      <rPr>
        <sz val="9"/>
        <rFont val="宋体"/>
        <family val="0"/>
        <charset val="1"/>
      </rPr>
      <t xml:space="preserve">5.</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5. Khác: phù hợp với yêu cầu của bản vẽ thiết kế và quy phạm thi công</t>
    </r>
  </si>
  <si>
    <r>
      <rPr>
        <sz val="9"/>
        <rFont val="WenQuanYi Zen Hei"/>
        <family val="2"/>
      </rPr>
      <t xml:space="preserve">纤维织物风管安装紧箍器
</t>
    </r>
    <r>
      <rPr>
        <sz val="9"/>
        <color rgb="FF1F4E79"/>
        <rFont val="Arial"/>
        <family val="0"/>
        <charset val="1"/>
      </rPr>
      <t xml:space="preserve">Vòng siết lắp đặt ống gió vải sợi</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</si>
  <si>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纤维织物风管紧箍器
</t>
    </r>
    <r>
      <rPr>
        <sz val="9"/>
        <color rgb="FF1F4E79"/>
        <rFont val="Arial"/>
        <family val="0"/>
        <charset val="1"/>
      </rPr>
      <t xml:space="preserve">1. Tên: vòng siết ống gió vải sợi
</t>
    </r>
    <r>
      <rPr>
        <sz val="9"/>
        <rFont val="宋体"/>
        <family val="0"/>
        <charset val="1"/>
      </rPr>
      <t xml:space="preserve">2.</t>
    </r>
    <r>
      <rPr>
        <sz val="9"/>
        <rFont val="WenQuanYi Zen Hei"/>
        <family val="2"/>
      </rPr>
      <t xml:space="preserve">形状</t>
    </r>
    <r>
      <rPr>
        <sz val="9"/>
        <rFont val="宋体"/>
        <family val="0"/>
        <charset val="1"/>
      </rPr>
      <t xml:space="preserve">:</t>
    </r>
    <r>
      <rPr>
        <sz val="9"/>
        <rFont val="WenQuanYi Zen Hei"/>
        <family val="2"/>
      </rPr>
      <t xml:space="preserve">圆形
</t>
    </r>
    <r>
      <rPr>
        <sz val="9"/>
        <color rgb="FF1F4E79"/>
        <rFont val="Arial"/>
        <family val="0"/>
        <charset val="1"/>
      </rPr>
      <t xml:space="preserve">2. Hình dạng: tròn
</t>
    </r>
    <r>
      <rPr>
        <sz val="9"/>
        <rFont val="宋体"/>
        <family val="0"/>
        <charset val="1"/>
      </rPr>
      <t xml:space="preserve">3.</t>
    </r>
    <r>
      <rPr>
        <sz val="9"/>
        <rFont val="WenQuanYi Zen Hei"/>
        <family val="2"/>
      </rPr>
      <t xml:space="preserve">规格</t>
    </r>
    <r>
      <rPr>
        <sz val="9"/>
        <rFont val="宋体"/>
        <family val="0"/>
        <charset val="1"/>
      </rPr>
      <t xml:space="preserve">:φ900
</t>
    </r>
    <r>
      <rPr>
        <sz val="9"/>
        <color rgb="FF1F4E79"/>
        <rFont val="Arial"/>
        <family val="0"/>
        <charset val="1"/>
      </rPr>
      <t xml:space="preserve">3. Quy cách: φ900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</si>
  <si>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双层送风百叶
</t>
    </r>
    <r>
      <rPr>
        <sz val="9"/>
        <color rgb="FF1F4E79"/>
        <rFont val="Arial"/>
        <family val="0"/>
        <charset val="1"/>
      </rPr>
      <t xml:space="preserve">1. Tên: cửa gió cấp nan kép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内径</t>
    </r>
    <r>
      <rPr>
        <sz val="9"/>
        <rFont val="宋体"/>
        <family val="0"/>
        <charset val="1"/>
      </rPr>
      <t xml:space="preserve">500*320
</t>
    </r>
    <r>
      <rPr>
        <sz val="9"/>
        <color rgb="FF1F4E79"/>
        <rFont val="Arial"/>
        <family val="0"/>
        <charset val="1"/>
      </rPr>
      <t xml:space="preserve">2. Quy cách: kích thước trong 500*320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</si>
  <si>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门铰式回风百叶
</t>
    </r>
    <r>
      <rPr>
        <sz val="9"/>
        <color rgb="FF1F4E79"/>
        <rFont val="Arial"/>
        <family val="0"/>
        <charset val="1"/>
      </rPr>
      <t xml:space="preserve">1. Tên: cửa gió hồi dạng bản lề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面径</t>
    </r>
    <r>
      <rPr>
        <sz val="9"/>
        <rFont val="宋体"/>
        <family val="0"/>
        <charset val="1"/>
      </rPr>
      <t xml:space="preserve">350*1200
</t>
    </r>
    <r>
      <rPr>
        <sz val="9"/>
        <color rgb="FF1F4E79"/>
        <rFont val="Arial"/>
        <family val="0"/>
        <charset val="1"/>
      </rPr>
      <t xml:space="preserve">2. Quy cách: kích thước mặt 350*1200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</si>
  <si>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门铰式回风百叶
</t>
    </r>
    <r>
      <rPr>
        <sz val="9"/>
        <color rgb="FF1F4E79"/>
        <rFont val="Arial"/>
        <family val="0"/>
        <charset val="1"/>
      </rPr>
      <t xml:space="preserve">1. Tên: cửa gió hồi dạng bản lề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内径</t>
    </r>
    <r>
      <rPr>
        <sz val="9"/>
        <rFont val="宋体"/>
        <family val="0"/>
        <charset val="1"/>
      </rPr>
      <t xml:space="preserve">2000*1000
</t>
    </r>
    <r>
      <rPr>
        <sz val="9"/>
        <color rgb="FF1F4E79"/>
        <rFont val="Arial"/>
        <family val="0"/>
        <charset val="1"/>
      </rPr>
      <t xml:space="preserve">2. Quy cách: kích thước trong 2000*1000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</si>
  <si>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防雨百叶
</t>
    </r>
    <r>
      <rPr>
        <sz val="9"/>
        <color rgb="FF1F4E79"/>
        <rFont val="Arial"/>
        <family val="0"/>
        <charset val="1"/>
      </rPr>
      <t xml:space="preserve">1. Tên: cửa gió chắn mưa
</t>
    </r>
    <r>
      <rPr>
        <sz val="9"/>
        <rFont val="宋体"/>
        <family val="0"/>
        <charset val="1"/>
      </rPr>
      <t xml:space="preserve">2.</t>
    </r>
    <r>
      <rPr>
        <sz val="9"/>
        <rFont val="WenQuanYi Zen Hei"/>
        <family val="2"/>
      </rPr>
      <t xml:space="preserve">规格</t>
    </r>
    <r>
      <rPr>
        <sz val="9"/>
        <rFont val="宋体"/>
        <family val="0"/>
        <charset val="1"/>
      </rPr>
      <t xml:space="preserve">:</t>
    </r>
    <r>
      <rPr>
        <sz val="9"/>
        <rFont val="WenQuanYi Zen Hei"/>
        <family val="2"/>
      </rPr>
      <t xml:space="preserve">内径</t>
    </r>
    <r>
      <rPr>
        <sz val="9"/>
        <rFont val="宋体"/>
        <family val="0"/>
        <charset val="1"/>
      </rPr>
      <t xml:space="preserve">1000*500
</t>
    </r>
    <r>
      <rPr>
        <sz val="9"/>
        <color rgb="FF1F4E79"/>
        <rFont val="Arial"/>
        <family val="0"/>
        <charset val="1"/>
      </rPr>
      <t xml:space="preserve">2. Quy cách: kích thước trong 1000*500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铝合金 
</t>
    </r>
    <r>
      <rPr>
        <sz val="9"/>
        <color rgb="FF1F4E79"/>
        <rFont val="Arial"/>
        <family val="0"/>
        <charset val="1"/>
      </rPr>
      <t xml:space="preserve">3. Vật liệu: hợp kim nhôm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</si>
  <si>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:70℃</t>
    </r>
    <r>
      <rPr>
        <sz val="9"/>
        <rFont val="WenQuanYi Zen Hei"/>
        <family val="2"/>
      </rPr>
      <t xml:space="preserve">防火阀
</t>
    </r>
    <r>
      <rPr>
        <sz val="9"/>
        <color rgb="FF1F4E79"/>
        <rFont val="Arial"/>
        <family val="0"/>
        <charset val="1"/>
      </rPr>
      <t xml:space="preserve">1. Tên: van chặn lửa 70℃
</t>
    </r>
    <r>
      <rPr>
        <sz val="9"/>
        <rFont val="宋体"/>
        <family val="0"/>
        <charset val="1"/>
      </rPr>
      <t xml:space="preserve">2.</t>
    </r>
    <r>
      <rPr>
        <sz val="9"/>
        <rFont val="WenQuanYi Zen Hei"/>
        <family val="2"/>
      </rPr>
      <t xml:space="preserve">规格</t>
    </r>
    <r>
      <rPr>
        <sz val="9"/>
        <rFont val="宋体"/>
        <family val="0"/>
        <charset val="1"/>
      </rPr>
      <t xml:space="preserve">:1250*500
</t>
    </r>
    <r>
      <rPr>
        <sz val="9"/>
        <color rgb="FF1F4E79"/>
        <rFont val="Arial"/>
        <family val="0"/>
        <charset val="1"/>
      </rPr>
      <t xml:space="preserve">2. Quy cách: 1250*500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</si>
  <si>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:70℃</t>
    </r>
    <r>
      <rPr>
        <sz val="9"/>
        <rFont val="WenQuanYi Zen Hei"/>
        <family val="2"/>
      </rPr>
      <t xml:space="preserve">防火阀
</t>
    </r>
    <r>
      <rPr>
        <sz val="9"/>
        <color rgb="FF1F4E79"/>
        <rFont val="Arial"/>
        <family val="0"/>
        <charset val="1"/>
      </rPr>
      <t xml:space="preserve">1. Tên: van chặn lửa 70℃
</t>
    </r>
    <r>
      <rPr>
        <sz val="9"/>
        <rFont val="宋体"/>
        <family val="0"/>
        <charset val="1"/>
      </rPr>
      <t xml:space="preserve">2.</t>
    </r>
    <r>
      <rPr>
        <sz val="9"/>
        <rFont val="WenQuanYi Zen Hei"/>
        <family val="2"/>
      </rPr>
      <t xml:space="preserve">规格</t>
    </r>
    <r>
      <rPr>
        <sz val="9"/>
        <rFont val="宋体"/>
        <family val="0"/>
        <charset val="1"/>
      </rPr>
      <t xml:space="preserve">:800*500
</t>
    </r>
    <r>
      <rPr>
        <sz val="9"/>
        <color rgb="FF1F4E79"/>
        <rFont val="Arial"/>
        <family val="0"/>
        <charset val="1"/>
      </rPr>
      <t xml:space="preserve">2. Quy cách: 800*500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</si>
  <si>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:1600*500
</t>
    </r>
    <r>
      <rPr>
        <sz val="9"/>
        <color rgb="FF1F4E79"/>
        <rFont val="Arial"/>
        <family val="0"/>
        <charset val="1"/>
      </rPr>
      <t xml:space="preserve">2. Quy cách: 1600*500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</si>
  <si>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:1250*500
</t>
    </r>
    <r>
      <rPr>
        <sz val="9"/>
        <color rgb="FF1F4E79"/>
        <rFont val="Arial"/>
        <family val="0"/>
        <charset val="1"/>
      </rPr>
      <t xml:space="preserve">2. Quy cách: 1250*500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</si>
  <si>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:1100*500
</t>
    </r>
    <r>
      <rPr>
        <sz val="9"/>
        <color rgb="FF1F4E79"/>
        <rFont val="Arial"/>
        <family val="0"/>
        <charset val="1"/>
      </rPr>
      <t xml:space="preserve">2. Quy cách: 1100*500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</si>
  <si>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:1000*630
</t>
    </r>
    <r>
      <rPr>
        <sz val="9"/>
        <color rgb="FF1F4E79"/>
        <rFont val="Arial"/>
        <family val="0"/>
        <charset val="1"/>
      </rPr>
      <t xml:space="preserve">2. Quy cách: 1000*630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</si>
  <si>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:800*500
</t>
    </r>
    <r>
      <rPr>
        <sz val="9"/>
        <color rgb="FF1F4E79"/>
        <rFont val="Arial"/>
        <family val="0"/>
        <charset val="1"/>
      </rPr>
      <t xml:space="preserve">2. Quy cách: 800*500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</si>
  <si>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:630*500
</t>
    </r>
    <r>
      <rPr>
        <sz val="9"/>
        <color rgb="FF1F4E79"/>
        <rFont val="Arial"/>
        <family val="0"/>
        <charset val="1"/>
      </rPr>
      <t xml:space="preserve">2. Quy cách: 630*500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</si>
  <si>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:630*400
</t>
    </r>
    <r>
      <rPr>
        <sz val="9"/>
        <color rgb="FF1F4E79"/>
        <rFont val="Arial"/>
        <family val="0"/>
        <charset val="1"/>
      </rPr>
      <t xml:space="preserve">2. Quy cách: 630*400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</si>
  <si>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手动对开多叶调节阀
</t>
    </r>
    <r>
      <rPr>
        <sz val="9"/>
        <color rgb="FF1F4E79"/>
        <rFont val="Arial"/>
        <family val="0"/>
        <charset val="1"/>
      </rPr>
      <t xml:space="preserve">1. Tên: van điều chỉnh gió nhiều lá mở đối xứng bằng tay
</t>
    </r>
    <r>
      <rPr>
        <sz val="9"/>
        <rFont val="宋体"/>
        <family val="0"/>
        <charset val="1"/>
      </rPr>
      <t xml:space="preserve">2.</t>
    </r>
    <r>
      <rPr>
        <sz val="9"/>
        <rFont val="WenQuanYi Zen Hei"/>
        <family val="2"/>
      </rPr>
      <t xml:space="preserve">规格</t>
    </r>
    <r>
      <rPr>
        <sz val="9"/>
        <rFont val="宋体"/>
        <family val="0"/>
        <charset val="1"/>
      </rPr>
      <t xml:space="preserve">:500*320
</t>
    </r>
    <r>
      <rPr>
        <sz val="9"/>
        <color rgb="FF1F4E79"/>
        <rFont val="Arial"/>
        <family val="0"/>
        <charset val="1"/>
      </rPr>
      <t xml:space="preserve">2. Quy cách: 500*320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碳钢
</t>
    </r>
    <r>
      <rPr>
        <sz val="9"/>
        <color rgb="FF1F4E79"/>
        <rFont val="Arial"/>
        <family val="0"/>
        <charset val="1"/>
      </rPr>
      <t xml:space="preserve">3. Vật liệu: thép cacbon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符合设计图纸及施工规范要求
</t>
    </r>
    <r>
      <rPr>
        <sz val="9"/>
        <color rgb="FF1F4E79"/>
        <rFont val="Arial"/>
        <family val="0"/>
        <charset val="1"/>
      </rPr>
      <t xml:space="preserve">4. Khác: phù hợp với yêu cầu của bản vẽ thiết kế và quy phạm thi công</t>
    </r>
  </si>
  <si>
    <r>
      <rPr>
        <sz val="9"/>
        <rFont val="WenQuanYi Zen Hei"/>
        <family val="2"/>
      </rPr>
      <t xml:space="preserve">钢管：振鸿、广岐、华岐、友发、南粤
</t>
    </r>
    <r>
      <rPr>
        <sz val="9"/>
        <color rgb="FF1F4E79"/>
        <rFont val="Arial"/>
        <family val="0"/>
        <charset val="1"/>
      </rPr>
      <t xml:space="preserve">Ống thép: Zhenhong, Guangqi, Huaqi, Youfa, Nanyue
</t>
    </r>
    <r>
      <rPr>
        <sz val="9"/>
        <rFont val="WenQuanYi Zen Hei"/>
        <family val="2"/>
      </rPr>
      <t xml:space="preserve">保温：</t>
    </r>
    <r>
      <rPr>
        <sz val="9"/>
        <rFont val="宋体"/>
        <family val="0"/>
        <charset val="1"/>
      </rPr>
      <t xml:space="preserve">Ord</t>
    </r>
    <r>
      <rPr>
        <sz val="9"/>
        <rFont val="WenQuanYi Zen Hei"/>
        <family val="2"/>
      </rPr>
      <t xml:space="preserve">、贝柠、华美、派柏士
</t>
    </r>
    <r>
      <rPr>
        <sz val="9"/>
        <color rgb="FF1F4E79"/>
        <rFont val="Arial"/>
        <family val="0"/>
        <charset val="1"/>
      </rPr>
      <t xml:space="preserve">Bảo ôn: Ord, Beining, Huamei, Paibaishi</t>
    </r>
  </si>
  <si>
    <r>
      <rPr>
        <sz val="9"/>
        <rFont val="宋体"/>
        <family val="0"/>
        <charset val="1"/>
      </rPr>
      <t xml:space="preserve">PVC</t>
    </r>
    <r>
      <rPr>
        <sz val="9"/>
        <rFont val="WenQuanYi Zen Hei"/>
        <family val="2"/>
      </rPr>
      <t xml:space="preserve">管：联塑、日丰
</t>
    </r>
    <r>
      <rPr>
        <sz val="9"/>
        <color rgb="FF1F4E79"/>
        <rFont val="Arial"/>
        <family val="0"/>
        <charset val="1"/>
      </rPr>
      <t xml:space="preserve">Ống PVC: Lesso, Rifeng
</t>
    </r>
    <r>
      <rPr>
        <sz val="9"/>
        <rFont val="WenQuanYi Zen Hei"/>
        <family val="2"/>
      </rPr>
      <t xml:space="preserve">保温：</t>
    </r>
    <r>
      <rPr>
        <sz val="9"/>
        <rFont val="宋体"/>
        <family val="0"/>
        <charset val="1"/>
      </rPr>
      <t xml:space="preserve">Ord</t>
    </r>
    <r>
      <rPr>
        <sz val="9"/>
        <rFont val="WenQuanYi Zen Hei"/>
        <family val="2"/>
      </rPr>
      <t xml:space="preserve">、贝柠、华美、派柏士
</t>
    </r>
    <r>
      <rPr>
        <sz val="9"/>
        <color rgb="FF1F4E79"/>
        <rFont val="Arial"/>
        <family val="0"/>
        <charset val="1"/>
      </rPr>
      <t xml:space="preserve">Bảo ôn: Ord, Beining, Huamei, Paibaishi</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</si>
  <si>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比例积分调节阀
</t>
    </r>
    <r>
      <rPr>
        <sz val="9"/>
        <color rgb="FF1F4E79"/>
        <rFont val="Arial"/>
        <family val="0"/>
        <charset val="1"/>
      </rPr>
      <t xml:space="preserve">1. Loại: van điều chỉnh tỷ lệ tích phân (PI)
</t>
    </r>
    <r>
      <rPr>
        <sz val="9"/>
        <rFont val="宋体"/>
        <family val="0"/>
        <charset val="1"/>
      </rPr>
      <t xml:space="preserve">2.</t>
    </r>
    <r>
      <rPr>
        <sz val="9"/>
        <rFont val="WenQuanYi Zen Hei"/>
        <family val="2"/>
      </rPr>
      <t xml:space="preserve">规格</t>
    </r>
    <r>
      <rPr>
        <sz val="9"/>
        <rFont val="宋体"/>
        <family val="0"/>
        <charset val="1"/>
      </rPr>
      <t xml:space="preserve">:DN80
</t>
    </r>
    <r>
      <rPr>
        <sz val="9"/>
        <color rgb="FF1F4E79"/>
        <rFont val="Arial"/>
        <family val="0"/>
        <charset val="1"/>
      </rPr>
      <t xml:space="preserve">2. Quy cách: DN80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3. Hình thức kết nối: nối mặt bích                     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</si>
  <si>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比例积分调节阀
</t>
    </r>
    <r>
      <rPr>
        <sz val="9"/>
        <color rgb="FF1F4E79"/>
        <rFont val="Arial"/>
        <family val="0"/>
        <charset val="1"/>
      </rPr>
      <t xml:space="preserve">1. Loại: van điều chỉnh tỷ lệ tích phân (PI)
</t>
    </r>
    <r>
      <rPr>
        <sz val="9"/>
        <rFont val="宋体"/>
        <family val="0"/>
        <charset val="1"/>
      </rPr>
      <t xml:space="preserve">2.</t>
    </r>
    <r>
      <rPr>
        <sz val="9"/>
        <rFont val="WenQuanYi Zen Hei"/>
        <family val="2"/>
      </rPr>
      <t xml:space="preserve">规格</t>
    </r>
    <r>
      <rPr>
        <sz val="9"/>
        <rFont val="宋体"/>
        <family val="0"/>
        <charset val="1"/>
      </rPr>
      <t xml:space="preserve">:DN65
</t>
    </r>
    <r>
      <rPr>
        <sz val="9"/>
        <color rgb="FF1F4E79"/>
        <rFont val="Arial"/>
        <family val="0"/>
        <charset val="1"/>
      </rPr>
      <t xml:space="preserve">2. Quy cách: DN65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</si>
  <si>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:DN250
</t>
    </r>
    <r>
      <rPr>
        <sz val="9"/>
        <color rgb="FF1F4E79"/>
        <rFont val="Arial"/>
        <family val="0"/>
        <charset val="1"/>
      </rPr>
      <t xml:space="preserve">2. Quy cách: DN250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</si>
  <si>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蜗轮对夹式蝶阀
</t>
    </r>
    <r>
      <rPr>
        <sz val="9"/>
        <color rgb="FF1F4E79"/>
        <rFont val="Arial"/>
        <family val="0"/>
        <charset val="1"/>
      </rPr>
      <t xml:space="preserve">1. Loại: van bướm kẹp (wafer) tay quay hộp số
</t>
    </r>
    <r>
      <rPr>
        <sz val="9"/>
        <rFont val="宋体"/>
        <family val="0"/>
        <charset val="1"/>
      </rPr>
      <t xml:space="preserve">2.</t>
    </r>
    <r>
      <rPr>
        <sz val="9"/>
        <rFont val="WenQuanYi Zen Hei"/>
        <family val="2"/>
      </rPr>
      <t xml:space="preserve">规格</t>
    </r>
    <r>
      <rPr>
        <sz val="9"/>
        <rFont val="宋体"/>
        <family val="0"/>
        <charset val="1"/>
      </rPr>
      <t xml:space="preserve">:DN80
</t>
    </r>
    <r>
      <rPr>
        <sz val="9"/>
        <color rgb="FF1F4E79"/>
        <rFont val="Arial"/>
        <family val="0"/>
        <charset val="1"/>
      </rPr>
      <t xml:space="preserve">2. Quy cách: DN80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</si>
  <si>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:Y</t>
    </r>
    <r>
      <rPr>
        <sz val="9"/>
        <rFont val="WenQuanYi Zen Hei"/>
        <family val="2"/>
      </rPr>
      <t xml:space="preserve">型过滤器
</t>
    </r>
    <r>
      <rPr>
        <sz val="9"/>
        <color rgb="FF1F4E79"/>
        <rFont val="Arial"/>
        <family val="0"/>
        <charset val="1"/>
      </rPr>
      <t xml:space="preserve">1. Loại: bộ lọc chữ Y
</t>
    </r>
    <r>
      <rPr>
        <sz val="9"/>
        <rFont val="宋体"/>
        <family val="0"/>
        <charset val="1"/>
      </rPr>
      <t xml:space="preserve">2.</t>
    </r>
    <r>
      <rPr>
        <sz val="9"/>
        <rFont val="WenQuanYi Zen Hei"/>
        <family val="2"/>
      </rPr>
      <t xml:space="preserve">规格</t>
    </r>
    <r>
      <rPr>
        <sz val="9"/>
        <rFont val="宋体"/>
        <family val="0"/>
        <charset val="1"/>
      </rPr>
      <t xml:space="preserve">:DN80
</t>
    </r>
    <r>
      <rPr>
        <sz val="9"/>
        <color rgb="FF1F4E79"/>
        <rFont val="Arial"/>
        <family val="0"/>
        <charset val="1"/>
      </rPr>
      <t xml:space="preserve">2. Quy cách: DN80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</si>
  <si>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1.</t>
    </r>
    <r>
      <rPr>
        <sz val="9"/>
        <rFont val="WenQuanYi Zen Hei"/>
        <family val="2"/>
      </rPr>
      <t xml:space="preserve">类型</t>
    </r>
    <r>
      <rPr>
        <sz val="9"/>
        <rFont val="宋体"/>
        <family val="0"/>
        <charset val="1"/>
      </rPr>
      <t xml:space="preserve">:</t>
    </r>
    <r>
      <rPr>
        <sz val="9"/>
        <rFont val="WenQuanYi Zen Hei"/>
        <family val="2"/>
      </rPr>
      <t xml:space="preserve">橡胶软接头
</t>
    </r>
    <r>
      <rPr>
        <sz val="9"/>
        <color rgb="FF1F4E79"/>
        <rFont val="Arial"/>
        <family val="0"/>
        <charset val="1"/>
      </rPr>
      <t xml:space="preserve">1. Loại: khớp nối mềm cao su
</t>
    </r>
    <r>
      <rPr>
        <sz val="9"/>
        <rFont val="宋体"/>
        <family val="0"/>
        <charset val="1"/>
      </rPr>
      <t xml:space="preserve">2.</t>
    </r>
    <r>
      <rPr>
        <sz val="9"/>
        <rFont val="WenQuanYi Zen Hei"/>
        <family val="2"/>
      </rPr>
      <t xml:space="preserve">规格</t>
    </r>
    <r>
      <rPr>
        <sz val="9"/>
        <rFont val="宋体"/>
        <family val="0"/>
        <charset val="1"/>
      </rPr>
      <t xml:space="preserve">:DN80
</t>
    </r>
    <r>
      <rPr>
        <sz val="9"/>
        <color rgb="FF1F4E79"/>
        <rFont val="Arial"/>
        <family val="0"/>
        <charset val="1"/>
      </rPr>
      <t xml:space="preserve">2. Quy cách: DN80
</t>
    </r>
    <r>
      <rPr>
        <sz val="9"/>
        <rFont val="宋体"/>
        <family val="0"/>
        <charset val="1"/>
      </rPr>
      <t xml:space="preserve">3.</t>
    </r>
    <r>
      <rPr>
        <sz val="9"/>
        <rFont val="WenQuanYi Zen Hei"/>
        <family val="2"/>
      </rPr>
      <t xml:space="preserve">连接形式</t>
    </r>
    <r>
      <rPr>
        <sz val="9"/>
        <rFont val="宋体"/>
        <family val="0"/>
        <charset val="1"/>
      </rPr>
      <t xml:space="preserve">:</t>
    </r>
    <r>
      <rPr>
        <sz val="9"/>
        <rFont val="WenQuanYi Zen Hei"/>
        <family val="2"/>
      </rPr>
      <t xml:space="preserve">法兰连接
</t>
    </r>
    <r>
      <rPr>
        <sz val="9"/>
        <color rgb="FF1F4E79"/>
        <rFont val="Arial"/>
        <family val="0"/>
        <charset val="1"/>
      </rPr>
      <t xml:space="preserve">3. Hình thức kết nối: nối mặt bích
</t>
    </r>
    <r>
      <rPr>
        <sz val="9"/>
        <rFont val="宋体"/>
        <family val="0"/>
        <charset val="1"/>
      </rPr>
      <t xml:space="preserve">4.</t>
    </r>
    <r>
      <rPr>
        <sz val="9"/>
        <rFont val="WenQuanYi Zen Hei"/>
        <family val="2"/>
      </rPr>
      <t xml:space="preserve">其他</t>
    </r>
    <r>
      <rPr>
        <sz val="9"/>
        <rFont val="宋体"/>
        <family val="0"/>
        <charset val="1"/>
      </rPr>
      <t xml:space="preserve">:</t>
    </r>
    <r>
      <rPr>
        <sz val="9"/>
        <rFont val="WenQuanYi Zen Hei"/>
        <family val="2"/>
      </rPr>
      <t xml:space="preserve">符合设计图纸以及施工规范要求
</t>
    </r>
    <r>
      <rPr>
        <sz val="9"/>
        <color rgb="FF1F4E79"/>
        <rFont val="Arial"/>
        <family val="0"/>
        <charset val="1"/>
      </rPr>
      <t xml:space="preserve">4. Khác: phù hợp với yêu cầu của bản vẽ thiết kế và quy phạm thi công</t>
    </r>
  </si>
  <si>
    <r>
      <rPr>
        <sz val="9"/>
        <rFont val="宋体"/>
        <family val="0"/>
        <charset val="1"/>
      </rPr>
      <t xml:space="preserve">AHU</t>
    </r>
    <r>
      <rPr>
        <sz val="9"/>
        <rFont val="WenQuanYi Zen Hei"/>
        <family val="2"/>
      </rPr>
      <t xml:space="preserve">动力控制柜
</t>
    </r>
    <r>
      <rPr>
        <sz val="9"/>
        <color rgb="FF1F4E79"/>
        <rFont val="Arial"/>
        <family val="0"/>
        <charset val="1"/>
      </rPr>
      <t xml:space="preserve">Tủ điều khiển động lực AHU
</t>
    </r>
    <r>
      <rPr>
        <sz val="9"/>
        <rFont val="宋体"/>
        <family val="0"/>
        <charset val="1"/>
      </rPr>
      <t xml:space="preserve">APL-01</t>
    </r>
  </si>
  <si>
    <r>
      <rPr>
        <sz val="9"/>
        <rFont val="宋体"/>
        <family val="0"/>
        <charset val="1"/>
      </rPr>
      <t xml:space="preserve">1.</t>
    </r>
    <r>
      <rPr>
        <sz val="9"/>
        <rFont val="WenQuanYi Zen Hei"/>
        <family val="2"/>
      </rPr>
      <t xml:space="preserve">名称：</t>
    </r>
    <r>
      <rPr>
        <sz val="9"/>
        <rFont val="宋体"/>
        <family val="0"/>
        <charset val="1"/>
      </rPr>
      <t xml:space="preserve">AHU</t>
    </r>
    <r>
      <rPr>
        <sz val="9"/>
        <rFont val="WenQuanYi Zen Hei"/>
        <family val="2"/>
      </rPr>
      <t xml:space="preserve">动力控制柜
</t>
    </r>
    <r>
      <rPr>
        <sz val="9"/>
        <color rgb="FF1F4E79"/>
        <rFont val="Arial"/>
        <family val="0"/>
        <charset val="1"/>
      </rPr>
      <t xml:space="preserve">1. Tên: tủ điều khiển động lực AHU
</t>
    </r>
    <r>
      <rPr>
        <sz val="9"/>
        <rFont val="宋体"/>
        <family val="0"/>
        <charset val="1"/>
      </rPr>
      <t xml:space="preserve">2.</t>
    </r>
    <r>
      <rPr>
        <sz val="9"/>
        <rFont val="WenQuanYi Zen Hei"/>
        <family val="2"/>
      </rPr>
      <t xml:space="preserve">编号：</t>
    </r>
    <r>
      <rPr>
        <sz val="9"/>
        <rFont val="宋体"/>
        <family val="0"/>
        <charset val="1"/>
      </rPr>
      <t xml:space="preserve">APL-01
</t>
    </r>
    <r>
      <rPr>
        <sz val="9"/>
        <color rgb="FF1F4E79"/>
        <rFont val="Arial"/>
        <family val="0"/>
        <charset val="1"/>
      </rPr>
      <t xml:space="preserve">2. Mã hiệu: APL-01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</si>
  <si>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AHU</t>
    </r>
    <r>
      <rPr>
        <sz val="9"/>
        <rFont val="WenQuanYi Zen Hei"/>
        <family val="2"/>
      </rPr>
      <t xml:space="preserve">动力控制柜
</t>
    </r>
    <r>
      <rPr>
        <sz val="9"/>
        <color rgb="FF1F4E79"/>
        <rFont val="Arial"/>
        <family val="0"/>
        <charset val="1"/>
      </rPr>
      <t xml:space="preserve">Tủ điều khiển động lực AHU
</t>
    </r>
    <r>
      <rPr>
        <sz val="9"/>
        <rFont val="宋体"/>
        <family val="0"/>
        <charset val="1"/>
      </rPr>
      <t xml:space="preserve">APL-02</t>
    </r>
  </si>
  <si>
    <r>
      <rPr>
        <sz val="9"/>
        <rFont val="宋体"/>
        <family val="0"/>
        <charset val="1"/>
      </rPr>
      <t xml:space="preserve">1.</t>
    </r>
    <r>
      <rPr>
        <sz val="9"/>
        <rFont val="WenQuanYi Zen Hei"/>
        <family val="2"/>
      </rPr>
      <t xml:space="preserve">名称：</t>
    </r>
    <r>
      <rPr>
        <sz val="9"/>
        <rFont val="宋体"/>
        <family val="0"/>
        <charset val="1"/>
      </rPr>
      <t xml:space="preserve">AHU</t>
    </r>
    <r>
      <rPr>
        <sz val="9"/>
        <rFont val="WenQuanYi Zen Hei"/>
        <family val="2"/>
      </rPr>
      <t xml:space="preserve">动力控制柜
</t>
    </r>
    <r>
      <rPr>
        <sz val="9"/>
        <color rgb="FF1F4E79"/>
        <rFont val="Arial"/>
        <family val="0"/>
        <charset val="1"/>
      </rPr>
      <t xml:space="preserve">1. Tên: tủ điều khiển động lực AHU
</t>
    </r>
    <r>
      <rPr>
        <sz val="9"/>
        <rFont val="宋体"/>
        <family val="0"/>
        <charset val="1"/>
      </rPr>
      <t xml:space="preserve">2.</t>
    </r>
    <r>
      <rPr>
        <sz val="9"/>
        <rFont val="WenQuanYi Zen Hei"/>
        <family val="2"/>
      </rPr>
      <t xml:space="preserve">编号：</t>
    </r>
    <r>
      <rPr>
        <sz val="9"/>
        <rFont val="宋体"/>
        <family val="0"/>
        <charset val="1"/>
      </rPr>
      <t xml:space="preserve">APL-02
</t>
    </r>
    <r>
      <rPr>
        <sz val="9"/>
        <color rgb="FF1F4E79"/>
        <rFont val="Arial"/>
        <family val="0"/>
        <charset val="1"/>
      </rPr>
      <t xml:space="preserve">2. Mã hiệu: APL-02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1800*800*600
</t>
    </r>
    <r>
      <rPr>
        <sz val="9"/>
        <color rgb="FF1F4E79"/>
        <rFont val="Arial"/>
        <family val="0"/>
        <charset val="1"/>
      </rPr>
      <t xml:space="preserve">5. Vỏ tủ kiểu Rittal: 1800*800*600</t>
    </r>
  </si>
  <si>
    <r>
      <rPr>
        <sz val="9"/>
        <rFont val="宋体"/>
        <family val="0"/>
        <charset val="1"/>
      </rPr>
      <t xml:space="preserve">AHU</t>
    </r>
    <r>
      <rPr>
        <sz val="9"/>
        <rFont val="WenQuanYi Zen Hei"/>
        <family val="2"/>
      </rPr>
      <t xml:space="preserve">动力控制柜
</t>
    </r>
    <r>
      <rPr>
        <sz val="9"/>
        <color rgb="FF1F4E79"/>
        <rFont val="Arial"/>
        <family val="0"/>
        <charset val="1"/>
      </rPr>
      <t xml:space="preserve">Tủ điều khiển động lực AHU
</t>
    </r>
    <r>
      <rPr>
        <sz val="9"/>
        <rFont val="宋体"/>
        <family val="0"/>
        <charset val="1"/>
      </rPr>
      <t xml:space="preserve">APL-03</t>
    </r>
    <r>
      <rPr>
        <sz val="9"/>
        <rFont val="WenQuanYi Zen Hei"/>
        <family val="2"/>
      </rPr>
      <t xml:space="preserve">～</t>
    </r>
    <r>
      <rPr>
        <sz val="9"/>
        <rFont val="宋体"/>
        <family val="0"/>
        <charset val="1"/>
      </rPr>
      <t xml:space="preserve">04</t>
    </r>
  </si>
  <si>
    <r>
      <rPr>
        <sz val="9"/>
        <rFont val="宋体"/>
        <family val="0"/>
        <charset val="1"/>
      </rPr>
      <t xml:space="preserve">1.</t>
    </r>
    <r>
      <rPr>
        <sz val="9"/>
        <rFont val="WenQuanYi Zen Hei"/>
        <family val="2"/>
      </rPr>
      <t xml:space="preserve">名称：</t>
    </r>
    <r>
      <rPr>
        <sz val="9"/>
        <rFont val="宋体"/>
        <family val="0"/>
        <charset val="1"/>
      </rPr>
      <t xml:space="preserve">AHU</t>
    </r>
    <r>
      <rPr>
        <sz val="9"/>
        <rFont val="WenQuanYi Zen Hei"/>
        <family val="2"/>
      </rPr>
      <t xml:space="preserve">动力控制柜
</t>
    </r>
    <r>
      <rPr>
        <sz val="9"/>
        <color rgb="FF1F4E79"/>
        <rFont val="Arial"/>
        <family val="0"/>
        <charset val="1"/>
      </rPr>
      <t xml:space="preserve">1. Tên: tủ điều khiển động lực AHU
</t>
    </r>
    <r>
      <rPr>
        <sz val="9"/>
        <rFont val="宋体"/>
        <family val="0"/>
        <charset val="1"/>
      </rPr>
      <t xml:space="preserve">2.</t>
    </r>
    <r>
      <rPr>
        <sz val="9"/>
        <rFont val="WenQuanYi Zen Hei"/>
        <family val="2"/>
      </rPr>
      <t xml:space="preserve">编号：</t>
    </r>
    <r>
      <rPr>
        <sz val="9"/>
        <rFont val="宋体"/>
        <family val="0"/>
        <charset val="1"/>
      </rPr>
      <t xml:space="preserve">APL-03</t>
    </r>
    <r>
      <rPr>
        <sz val="9"/>
        <rFont val="WenQuanYi Zen Hei"/>
        <family val="2"/>
      </rPr>
      <t xml:space="preserve">～</t>
    </r>
    <r>
      <rPr>
        <sz val="9"/>
        <rFont val="宋体"/>
        <family val="0"/>
        <charset val="1"/>
      </rPr>
      <t xml:space="preserve">04
</t>
    </r>
    <r>
      <rPr>
        <sz val="9"/>
        <color rgb="FF1F4E79"/>
        <rFont val="Arial"/>
        <family val="0"/>
        <charset val="1"/>
      </rPr>
      <t xml:space="preserve">2. Mã hiệu: APL-03</t>
    </r>
    <r>
      <rPr>
        <sz val="9"/>
        <color rgb="FF1F4E79"/>
        <rFont val="WenQuanYi Zen Hei"/>
        <family val="2"/>
      </rPr>
      <t xml:space="preserve">～</t>
    </r>
    <r>
      <rPr>
        <sz val="9"/>
        <color rgb="FF1F4E79"/>
        <rFont val="Arial"/>
        <family val="0"/>
        <charset val="1"/>
      </rPr>
      <t xml:space="preserve">04
</t>
    </r>
    <r>
      <rPr>
        <sz val="9"/>
        <rFont val="宋体"/>
        <family val="0"/>
        <charset val="1"/>
      </rPr>
      <t xml:space="preserve">3.</t>
    </r>
    <r>
      <rPr>
        <sz val="9"/>
        <rFont val="WenQuanYi Zen Hei"/>
        <family val="2"/>
      </rPr>
      <t xml:space="preserve">成品柜，内含负荷开关、互感器、变频器、多功能电表、接触器、继电器、接线端子、按钮、指示灯等
</t>
    </r>
    <r>
      <rPr>
        <sz val="9"/>
        <color rgb="FF1F4E79"/>
        <rFont val="Arial"/>
        <family val="0"/>
        <charset val="1"/>
      </rPr>
      <t xml:space="preserve">3. Tủ thành phẩm, bên trong gồm cầu dao phụ tải, biến dòng, biến tần, đồng hồ điện đa chức năng, công tắc tơ, rơ le, cầu đấu dây, nút nhấn, đèn báo, v.v.
</t>
    </r>
    <r>
      <rPr>
        <sz val="9"/>
        <rFont val="宋体"/>
        <family val="0"/>
        <charset val="1"/>
      </rPr>
      <t xml:space="preserve">4.</t>
    </r>
    <r>
      <rPr>
        <sz val="9"/>
        <rFont val="WenQuanYi Zen Hei"/>
        <family val="2"/>
      </rPr>
      <t xml:space="preserve">安装方式：落地式
</t>
    </r>
    <r>
      <rPr>
        <sz val="9"/>
        <color rgb="FF1F4E79"/>
        <rFont val="Arial"/>
        <family val="0"/>
        <charset val="1"/>
      </rPr>
      <t xml:space="preserve">4. Phương thức lắp đặt: đặt sàn
</t>
    </r>
    <r>
      <rPr>
        <sz val="9"/>
        <rFont val="宋体"/>
        <family val="0"/>
        <charset val="1"/>
      </rPr>
      <t xml:space="preserve">5.</t>
    </r>
    <r>
      <rPr>
        <sz val="9"/>
        <rFont val="WenQuanYi Zen Hei"/>
        <family val="2"/>
      </rPr>
      <t xml:space="preserve">仿威图机柜：</t>
    </r>
    <r>
      <rPr>
        <sz val="9"/>
        <rFont val="宋体"/>
        <family val="0"/>
        <charset val="1"/>
      </rPr>
      <t xml:space="preserve">1800*1000*600
</t>
    </r>
    <r>
      <rPr>
        <sz val="9"/>
        <color rgb="FF1F4E79"/>
        <rFont val="Arial"/>
        <family val="0"/>
        <charset val="1"/>
      </rPr>
      <t xml:space="preserve">5. Vỏ tủ kiểu Rittal: 1800*1000*600</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</si>
  <si>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APL-05</t>
    </r>
    <r>
      <rPr>
        <sz val="9"/>
        <rFont val="WenQuanYi Zen Hei"/>
        <family val="2"/>
      </rPr>
      <t xml:space="preserve">、</t>
    </r>
    <r>
      <rPr>
        <sz val="9"/>
        <rFont val="宋体"/>
        <family val="0"/>
        <charset val="1"/>
      </rPr>
      <t xml:space="preserve">APL-08
</t>
    </r>
    <r>
      <rPr>
        <sz val="9"/>
        <color rgb="FF1F4E79"/>
        <rFont val="Arial"/>
        <family val="0"/>
        <charset val="1"/>
      </rPr>
      <t xml:space="preserve">APL-05, APL-08</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</si>
  <si>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APL-05</t>
    </r>
    <r>
      <rPr>
        <sz val="9"/>
        <rFont val="WenQuanYi Zen Hei"/>
        <family val="2"/>
      </rPr>
      <t xml:space="preserve">、</t>
    </r>
    <r>
      <rPr>
        <sz val="9"/>
        <rFont val="宋体"/>
        <family val="0"/>
        <charset val="1"/>
      </rPr>
      <t xml:space="preserve">APL-08
</t>
    </r>
    <r>
      <rPr>
        <sz val="9"/>
        <color rgb="FF1F4E79"/>
        <rFont val="Arial"/>
        <family val="0"/>
        <charset val="1"/>
      </rPr>
      <t xml:space="preserve">2. Mã hiệu: APL-05, APL-08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800*600*200
</t>
    </r>
    <r>
      <rPr>
        <sz val="9"/>
        <color rgb="FF1F4E79"/>
        <rFont val="Arial"/>
        <family val="0"/>
        <charset val="1"/>
      </rPr>
      <t xml:space="preserve">5. Vỏ tủ kiểu Rittal: 800*600*200</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</si>
  <si>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APL-06</t>
    </r>
    <r>
      <rPr>
        <sz val="9"/>
        <rFont val="WenQuanYi Zen Hei"/>
        <family val="2"/>
      </rPr>
      <t xml:space="preserve">～</t>
    </r>
    <r>
      <rPr>
        <sz val="9"/>
        <rFont val="宋体"/>
        <family val="0"/>
        <charset val="1"/>
      </rPr>
      <t xml:space="preserve">07
APL-10</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</si>
  <si>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APL-06</t>
    </r>
    <r>
      <rPr>
        <sz val="9"/>
        <rFont val="WenQuanYi Zen Hei"/>
        <family val="2"/>
      </rPr>
      <t xml:space="preserve">～</t>
    </r>
    <r>
      <rPr>
        <sz val="9"/>
        <rFont val="宋体"/>
        <family val="0"/>
        <charset val="1"/>
      </rPr>
      <t xml:space="preserve">07</t>
    </r>
    <r>
      <rPr>
        <sz val="9"/>
        <rFont val="WenQuanYi Zen Hei"/>
        <family val="2"/>
      </rPr>
      <t xml:space="preserve">、</t>
    </r>
    <r>
      <rPr>
        <sz val="9"/>
        <rFont val="宋体"/>
        <family val="0"/>
        <charset val="1"/>
      </rPr>
      <t xml:space="preserve">APL-10
</t>
    </r>
    <r>
      <rPr>
        <sz val="9"/>
        <color rgb="FF1F4E79"/>
        <rFont val="Arial"/>
        <family val="0"/>
        <charset val="1"/>
      </rPr>
      <t xml:space="preserve">2. Mã hiệu: APL-06</t>
    </r>
    <r>
      <rPr>
        <sz val="9"/>
        <color rgb="FF1F4E79"/>
        <rFont val="WenQuanYi Zen Hei"/>
        <family val="2"/>
      </rPr>
      <t xml:space="preserve">～</t>
    </r>
    <r>
      <rPr>
        <sz val="9"/>
        <color rgb="FF1F4E79"/>
        <rFont val="Arial"/>
        <family val="0"/>
        <charset val="1"/>
      </rPr>
      <t xml:space="preserve">07, APL-10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800*600*200
</t>
    </r>
    <r>
      <rPr>
        <sz val="9"/>
        <color rgb="FF1F4E79"/>
        <rFont val="Arial"/>
        <family val="0"/>
        <charset val="1"/>
      </rPr>
      <t xml:space="preserve">5. Vỏ tủ kiểu Rittal: 800*600*200</t>
    </r>
  </si>
  <si>
    <r>
      <rPr>
        <sz val="9"/>
        <rFont val="宋体"/>
        <family val="0"/>
        <charset val="1"/>
      </rPr>
      <t xml:space="preserve">RCU/FAU</t>
    </r>
    <r>
      <rPr>
        <sz val="9"/>
        <rFont val="WenQuanYi Zen Hei"/>
        <family val="2"/>
      </rPr>
      <t xml:space="preserve">强弱电一体柜
</t>
    </r>
    <r>
      <rPr>
        <sz val="9"/>
        <color rgb="FF1F4E79"/>
        <rFont val="Arial"/>
        <family val="0"/>
        <charset val="1"/>
      </rPr>
      <t xml:space="preserve">Tủ tích hợp điện mạnh – điện nhẹ RCU/FAU
</t>
    </r>
    <r>
      <rPr>
        <sz val="9"/>
        <rFont val="宋体"/>
        <family val="0"/>
        <charset val="1"/>
      </rPr>
      <t xml:space="preserve">APL-09</t>
    </r>
  </si>
  <si>
    <r>
      <rPr>
        <sz val="9"/>
        <rFont val="宋体"/>
        <family val="0"/>
        <charset val="1"/>
      </rPr>
      <t xml:space="preserve">1.</t>
    </r>
    <r>
      <rPr>
        <sz val="9"/>
        <rFont val="WenQuanYi Zen Hei"/>
        <family val="2"/>
      </rPr>
      <t xml:space="preserve">名称：</t>
    </r>
    <r>
      <rPr>
        <sz val="9"/>
        <rFont val="宋体"/>
        <family val="0"/>
        <charset val="1"/>
      </rPr>
      <t xml:space="preserve">RCU</t>
    </r>
    <r>
      <rPr>
        <sz val="9"/>
        <rFont val="WenQuanYi Zen Hei"/>
        <family val="2"/>
      </rPr>
      <t xml:space="preserve">强弱电一体柜
</t>
    </r>
    <r>
      <rPr>
        <sz val="9"/>
        <color rgb="FF1F4E79"/>
        <rFont val="Arial"/>
        <family val="0"/>
        <charset val="1"/>
      </rPr>
      <t xml:space="preserve">1. Tên: tủ tích hợp điện mạnh – điện nhẹ RCU
</t>
    </r>
    <r>
      <rPr>
        <sz val="9"/>
        <rFont val="宋体"/>
        <family val="0"/>
        <charset val="1"/>
      </rPr>
      <t xml:space="preserve">2.</t>
    </r>
    <r>
      <rPr>
        <sz val="9"/>
        <rFont val="WenQuanYi Zen Hei"/>
        <family val="2"/>
      </rPr>
      <t xml:space="preserve">编号：</t>
    </r>
    <r>
      <rPr>
        <sz val="9"/>
        <rFont val="宋体"/>
        <family val="0"/>
        <charset val="1"/>
      </rPr>
      <t xml:space="preserve">APL-09
</t>
    </r>
    <r>
      <rPr>
        <sz val="9"/>
        <color rgb="FF1F4E79"/>
        <rFont val="Arial"/>
        <family val="0"/>
        <charset val="1"/>
      </rPr>
      <t xml:space="preserve">2. Mã hiệu: APL-09
</t>
    </r>
    <r>
      <rPr>
        <sz val="9"/>
        <rFont val="宋体"/>
        <family val="0"/>
        <charset val="1"/>
      </rPr>
      <t xml:space="preserve">3.</t>
    </r>
    <r>
      <rPr>
        <sz val="9"/>
        <rFont val="WenQuanYi Zen Hei"/>
        <family val="2"/>
      </rPr>
      <t xml:space="preserve">成品柜，内含负荷开关、互感器、多功能电表、接触器、继电器、变压器、接线端子、按钮、指示灯等
</t>
    </r>
    <r>
      <rPr>
        <sz val="9"/>
        <color rgb="FF1F4E79"/>
        <rFont val="Arial"/>
        <family val="0"/>
        <charset val="1"/>
      </rPr>
      <t xml:space="preserve">3. Tủ thành phẩm, bên trong gồm cầu dao phụ tải, biến dòng, đồng hồ điện đa chức năng, công tắc tơ, rơ le, máy biến áp, cầu đấu dây, nút nhấn, đèn báo, v.v.
</t>
    </r>
    <r>
      <rPr>
        <sz val="9"/>
        <rFont val="宋体"/>
        <family val="0"/>
        <charset val="1"/>
      </rPr>
      <t xml:space="preserve">4.</t>
    </r>
    <r>
      <rPr>
        <sz val="9"/>
        <rFont val="WenQuanYi Zen Hei"/>
        <family val="2"/>
      </rPr>
      <t xml:space="preserve">安装方式：悬挂式
</t>
    </r>
    <r>
      <rPr>
        <sz val="9"/>
        <color rgb="FF1F4E79"/>
        <rFont val="Arial"/>
        <family val="0"/>
        <charset val="1"/>
      </rPr>
      <t xml:space="preserve">4. Phương thức lắp đặt: treo tường
</t>
    </r>
    <r>
      <rPr>
        <sz val="9"/>
        <rFont val="宋体"/>
        <family val="0"/>
        <charset val="1"/>
      </rPr>
      <t xml:space="preserve">5.</t>
    </r>
    <r>
      <rPr>
        <sz val="9"/>
        <rFont val="WenQuanYi Zen Hei"/>
        <family val="2"/>
      </rPr>
      <t xml:space="preserve">仿威图机柜：</t>
    </r>
    <r>
      <rPr>
        <sz val="9"/>
        <rFont val="宋体"/>
        <family val="0"/>
        <charset val="1"/>
      </rPr>
      <t xml:space="preserve">600×400×200
</t>
    </r>
    <r>
      <rPr>
        <sz val="9"/>
        <color rgb="FF1F4E79"/>
        <rFont val="Arial"/>
        <family val="0"/>
        <charset val="1"/>
      </rPr>
      <t xml:space="preserve">5. Vỏ tủ kiểu Rittal: 600×400×200</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</si>
  <si>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:YJV-4*6
</t>
    </r>
    <r>
      <rPr>
        <sz val="9"/>
        <color rgb="FF1F4E79"/>
        <rFont val="Arial"/>
        <family val="0"/>
        <charset val="1"/>
      </rPr>
      <t xml:space="preserve">2. Quy cách: YJV-4*6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</si>
  <si>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1.</t>
    </r>
    <r>
      <rPr>
        <sz val="9"/>
        <rFont val="WenQuanYi Zen Hei"/>
        <family val="2"/>
      </rPr>
      <t xml:space="preserve">名称</t>
    </r>
    <r>
      <rPr>
        <sz val="9"/>
        <rFont val="宋体"/>
        <family val="0"/>
        <charset val="1"/>
      </rPr>
      <t xml:space="preserve">:</t>
    </r>
    <r>
      <rPr>
        <sz val="9"/>
        <rFont val="WenQuanYi Zen Hei"/>
        <family val="2"/>
      </rPr>
      <t xml:space="preserve">电力电缆
</t>
    </r>
    <r>
      <rPr>
        <sz val="9"/>
        <color rgb="FF1F4E79"/>
        <rFont val="Arial"/>
        <family val="0"/>
        <charset val="1"/>
      </rPr>
      <t xml:space="preserve">1. Tên: cáp điện lực
</t>
    </r>
    <r>
      <rPr>
        <sz val="9"/>
        <rFont val="宋体"/>
        <family val="0"/>
        <charset val="1"/>
      </rPr>
      <t xml:space="preserve">2.</t>
    </r>
    <r>
      <rPr>
        <sz val="9"/>
        <rFont val="WenQuanYi Zen Hei"/>
        <family val="2"/>
      </rPr>
      <t xml:space="preserve">规格</t>
    </r>
    <r>
      <rPr>
        <sz val="9"/>
        <rFont val="宋体"/>
        <family val="0"/>
        <charset val="1"/>
      </rPr>
      <t xml:space="preserve">:YJV-4*4
</t>
    </r>
    <r>
      <rPr>
        <sz val="9"/>
        <color rgb="FF1F4E79"/>
        <rFont val="Arial"/>
        <family val="0"/>
        <charset val="1"/>
      </rPr>
      <t xml:space="preserve">2. Quy cách: YJV-4*4
</t>
    </r>
    <r>
      <rPr>
        <sz val="9"/>
        <rFont val="宋体"/>
        <family val="0"/>
        <charset val="1"/>
      </rPr>
      <t xml:space="preserve">3.</t>
    </r>
    <r>
      <rPr>
        <sz val="9"/>
        <rFont val="WenQuanYi Zen Hei"/>
        <family val="2"/>
      </rPr>
      <t xml:space="preserve">材质</t>
    </r>
    <r>
      <rPr>
        <sz val="9"/>
        <rFont val="宋体"/>
        <family val="0"/>
        <charset val="1"/>
      </rPr>
      <t xml:space="preserve">:</t>
    </r>
    <r>
      <rPr>
        <sz val="9"/>
        <rFont val="WenQuanYi Zen Hei"/>
        <family val="2"/>
      </rPr>
      <t xml:space="preserve">铜芯
</t>
    </r>
    <r>
      <rPr>
        <sz val="9"/>
        <color rgb="FF1F4E79"/>
        <rFont val="Arial"/>
        <family val="0"/>
        <charset val="1"/>
      </rPr>
      <t xml:space="preserve">3. Vật liệu: lõi đồng</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</si>
  <si>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PLC-01</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</si>
  <si>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PLC-02</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</si>
  <si>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PLC-03</t>
    </r>
  </si>
  <si>
    <r>
      <rPr>
        <sz val="9"/>
        <rFont val="宋体"/>
        <family val="0"/>
        <charset val="1"/>
      </rPr>
      <t xml:space="preserve">PLC</t>
    </r>
    <r>
      <rPr>
        <sz val="9"/>
        <rFont val="WenQuanYi Zen Hei"/>
        <family val="2"/>
      </rPr>
      <t xml:space="preserve">自动控制柜
</t>
    </r>
    <r>
      <rPr>
        <sz val="9"/>
        <color rgb="FF1F4E79"/>
        <rFont val="Arial"/>
        <family val="0"/>
        <charset val="1"/>
      </rPr>
      <t xml:space="preserve">Tủ điều khiển tự động PLC
</t>
    </r>
    <r>
      <rPr>
        <sz val="9"/>
        <rFont val="宋体"/>
        <family val="0"/>
        <charset val="1"/>
      </rPr>
      <t xml:space="preserve">PLC-04</t>
    </r>
  </si>
  <si>
    <r>
      <rPr>
        <sz val="9"/>
        <rFont val="WenQuanYi Zen Hei"/>
        <family val="2"/>
      </rPr>
      <t xml:space="preserve">联塑、雄塑
</t>
    </r>
    <r>
      <rPr>
        <sz val="9"/>
        <color rgb="FF1F4E79"/>
        <rFont val="Arial"/>
        <family val="0"/>
        <charset val="1"/>
      </rPr>
      <t xml:space="preserve">Lesso, Xiongsu</t>
    </r>
  </si>
  <si>
    <r>
      <rPr>
        <b val="true"/>
        <sz val="16"/>
        <color rgb="FF000000"/>
        <rFont val="WenQuanYi Zen Hei"/>
        <family val="2"/>
      </rPr>
      <t xml:space="preserve">主要设备材料品牌表
</t>
    </r>
    <r>
      <rPr>
        <b val="true"/>
        <sz val="16"/>
        <color rgb="FF1F4E79"/>
        <rFont val="Arial"/>
        <family val="0"/>
        <charset val="1"/>
      </rPr>
      <t xml:space="preserve">Bảng thương hiệu thiết bị, vật tư chính</t>
    </r>
  </si>
  <si>
    <r>
      <rPr>
        <b val="true"/>
        <sz val="12"/>
        <color rgb="FF000000"/>
        <rFont val="WenQuanYi Zen Hei"/>
        <family val="2"/>
      </rPr>
      <t xml:space="preserve">序号
</t>
    </r>
    <r>
      <rPr>
        <b val="true"/>
        <sz val="12"/>
        <color rgb="FF1F4E79"/>
        <rFont val="Arial"/>
        <family val="0"/>
        <charset val="1"/>
      </rPr>
      <t xml:space="preserve">STT</t>
    </r>
  </si>
  <si>
    <r>
      <rPr>
        <b val="true"/>
        <sz val="12"/>
        <color rgb="FF000000"/>
        <rFont val="WenQuanYi Zen Hei"/>
        <family val="2"/>
      </rPr>
      <t xml:space="preserve">名称
</t>
    </r>
    <r>
      <rPr>
        <b val="true"/>
        <sz val="12"/>
        <color rgb="FF1F4E79"/>
        <rFont val="Arial"/>
        <family val="0"/>
        <charset val="1"/>
      </rPr>
      <t xml:space="preserve">Tên</t>
    </r>
  </si>
  <si>
    <r>
      <rPr>
        <b val="true"/>
        <sz val="12"/>
        <color rgb="FF000000"/>
        <rFont val="WenQuanYi Zen Hei"/>
        <family val="2"/>
      </rPr>
      <t xml:space="preserve">说明
</t>
    </r>
    <r>
      <rPr>
        <b val="true"/>
        <sz val="12"/>
        <color rgb="FF1F4E79"/>
        <rFont val="Arial"/>
        <family val="0"/>
        <charset val="1"/>
      </rPr>
      <t xml:space="preserve">Thuyết minh</t>
    </r>
  </si>
  <si>
    <r>
      <rPr>
        <b val="true"/>
        <sz val="12"/>
        <color rgb="FF000000"/>
        <rFont val="WenQuanYi Zen Hei"/>
        <family val="2"/>
      </rPr>
      <t xml:space="preserve">品牌
</t>
    </r>
    <r>
      <rPr>
        <b val="true"/>
        <sz val="12"/>
        <color rgb="FF1F4E79"/>
        <rFont val="Arial"/>
        <family val="0"/>
        <charset val="1"/>
      </rPr>
      <t xml:space="preserve">Thương hiệu</t>
    </r>
  </si>
  <si>
    <r>
      <rPr>
        <sz val="11"/>
        <color rgb="FF000000"/>
        <rFont val="WenQuanYi Zen Hei"/>
        <family val="2"/>
      </rPr>
      <t xml:space="preserve">冷水机组
</t>
    </r>
    <r>
      <rPr>
        <sz val="11"/>
        <color rgb="FF1F4E79"/>
        <rFont val="Arial"/>
        <family val="0"/>
        <charset val="1"/>
      </rPr>
      <t xml:space="preserve">Cụm máy làm lạnh nước (chiller)</t>
    </r>
  </si>
  <si>
    <r>
      <rPr>
        <sz val="11"/>
        <color rgb="FF000000"/>
        <rFont val="WenQuanYi Zen Hei"/>
        <family val="2"/>
      </rPr>
      <t xml:space="preserve">提供厂家出具选型报告
</t>
    </r>
    <r>
      <rPr>
        <sz val="11"/>
        <color rgb="FF1F4E79"/>
        <rFont val="Arial"/>
        <family val="0"/>
        <charset val="1"/>
      </rPr>
      <t xml:space="preserve">Cung cấp báo cáo chọn máy do nhà sản xuất phát hành
</t>
    </r>
    <r>
      <rPr>
        <sz val="11"/>
        <color rgb="FF000000"/>
        <rFont val="WenQuanYi Zen Hei"/>
        <family val="2"/>
      </rPr>
      <t xml:space="preserve">提供厂验条件：冷水机组进行出厂测试使用的所有相关性能参数
</t>
    </r>
    <r>
      <rPr>
        <sz val="11"/>
        <color rgb="FF1F4E79"/>
        <rFont val="Arial"/>
        <family val="0"/>
        <charset val="1"/>
      </rPr>
      <t xml:space="preserve">Cung cấp điều kiện nghiệm thu tại nhà máy: tất cả các thông số hiệu suất liên quan được sử dụng trong thử nghiệm xuất xưởng của cụm máy làm lạnh nước</t>
    </r>
  </si>
  <si>
    <r>
      <rPr>
        <sz val="11"/>
        <rFont val="WenQuanYi Zen Hei"/>
        <family val="2"/>
      </rPr>
      <t xml:space="preserve">麦克维尔【指定品牌，不可修改】
</t>
    </r>
    <r>
      <rPr>
        <sz val="11"/>
        <color rgb="FF1F4E79"/>
        <rFont val="Arial"/>
        <family val="0"/>
        <charset val="1"/>
      </rPr>
      <t xml:space="preserve">McQuay</t>
    </r>
    <r>
      <rPr>
        <sz val="11"/>
        <color rgb="FF1F4E79"/>
        <rFont val="WenQuanYi Zen Hei"/>
        <family val="2"/>
      </rPr>
      <t xml:space="preserve">【</t>
    </r>
    <r>
      <rPr>
        <sz val="11"/>
        <color rgb="FF1F4E79"/>
        <rFont val="Arial"/>
        <family val="0"/>
        <charset val="1"/>
      </rPr>
      <t xml:space="preserve">Thương hiệu chỉ định, không được thay đổi</t>
    </r>
    <r>
      <rPr>
        <sz val="11"/>
        <color rgb="FF1F4E79"/>
        <rFont val="WenQuanYi Zen Hei"/>
        <family val="2"/>
      </rPr>
      <t xml:space="preserve">】</t>
    </r>
  </si>
  <si>
    <r>
      <rPr>
        <sz val="11"/>
        <color rgb="FF000000"/>
        <rFont val="WenQuanYi Zen Hei"/>
        <family val="2"/>
      </rPr>
      <t xml:space="preserve">冷却水塔
</t>
    </r>
    <r>
      <rPr>
        <sz val="11"/>
        <color rgb="FF1F4E79"/>
        <rFont val="Arial"/>
        <family val="0"/>
        <charset val="1"/>
      </rPr>
      <t xml:space="preserve">Tháp giải nhiệt</t>
    </r>
  </si>
  <si>
    <r>
      <rPr>
        <sz val="11"/>
        <color rgb="FF000000"/>
        <rFont val="WenQuanYi Zen Hei"/>
        <family val="2"/>
      </rPr>
      <t xml:space="preserve">材质：玻璃钢
</t>
    </r>
    <r>
      <rPr>
        <sz val="11"/>
        <color rgb="FF1F4E79"/>
        <rFont val="Arial"/>
        <family val="0"/>
        <charset val="1"/>
      </rPr>
      <t xml:space="preserve">Vật liệu: nhựa composite cốt sợi thủy tinh (FRP)
</t>
    </r>
    <r>
      <rPr>
        <sz val="11"/>
        <color rgb="FF000000"/>
        <rFont val="WenQuanYi Zen Hei"/>
        <family val="2"/>
      </rPr>
      <t xml:space="preserve">采用变频电机
</t>
    </r>
    <r>
      <rPr>
        <sz val="11"/>
        <color rgb="FF1F4E79"/>
        <rFont val="Arial"/>
        <family val="0"/>
        <charset val="1"/>
      </rPr>
      <t xml:space="preserve">Sử dụng động cơ biến tần
</t>
    </r>
    <r>
      <rPr>
        <sz val="11"/>
        <color rgb="FF000000"/>
        <rFont val="宋体"/>
        <family val="0"/>
        <charset val="1"/>
      </rPr>
      <t xml:space="preserve">CTI</t>
    </r>
    <r>
      <rPr>
        <sz val="11"/>
        <color rgb="FF000000"/>
        <rFont val="WenQuanYi Zen Hei"/>
        <family val="2"/>
      </rPr>
      <t xml:space="preserve">认证
</t>
    </r>
    <r>
      <rPr>
        <sz val="11"/>
        <color rgb="FF1F4E79"/>
        <rFont val="Arial"/>
        <family val="0"/>
        <charset val="1"/>
      </rPr>
      <t xml:space="preserve">Chứng nhận CTI</t>
    </r>
  </si>
  <si>
    <r>
      <rPr>
        <sz val="11"/>
        <rFont val="WenQuanYi Zen Hei"/>
        <family val="2"/>
      </rPr>
      <t xml:space="preserve">良机、洲菱
</t>
    </r>
    <r>
      <rPr>
        <sz val="11"/>
        <color rgb="FF1F4E79"/>
        <rFont val="Arial"/>
        <family val="0"/>
        <charset val="1"/>
      </rPr>
      <t xml:space="preserve">Liangchi, Zhouling</t>
    </r>
  </si>
  <si>
    <r>
      <rPr>
        <sz val="11"/>
        <color rgb="FF000000"/>
        <rFont val="WenQuanYi Zen Hei"/>
        <family val="2"/>
      </rPr>
      <t xml:space="preserve">空调水泵
</t>
    </r>
    <r>
      <rPr>
        <sz val="11"/>
        <color rgb="FF1F4E79"/>
        <rFont val="Arial"/>
        <family val="0"/>
        <charset val="1"/>
      </rPr>
      <t xml:space="preserve">Bơm nước điều hòa</t>
    </r>
  </si>
  <si>
    <r>
      <rPr>
        <sz val="11"/>
        <color rgb="FF000000"/>
        <rFont val="WenQuanYi Zen Hei"/>
        <family val="2"/>
      </rPr>
      <t xml:space="preserve">采用变频电机
</t>
    </r>
    <r>
      <rPr>
        <sz val="11"/>
        <color rgb="FF1F4E79"/>
        <rFont val="Arial"/>
        <family val="0"/>
        <charset val="1"/>
      </rPr>
      <t xml:space="preserve">Sử dụng động cơ biến tần</t>
    </r>
  </si>
  <si>
    <r>
      <rPr>
        <sz val="11"/>
        <rFont val="宋体"/>
        <family val="0"/>
        <charset val="1"/>
      </rPr>
      <t xml:space="preserve">Ebara,</t>
    </r>
    <r>
      <rPr>
        <sz val="11"/>
        <rFont val="WenQuanYi Zen Hei"/>
        <family val="2"/>
      </rPr>
      <t xml:space="preserve">南方、凯泉、白云
</t>
    </r>
    <r>
      <rPr>
        <sz val="11"/>
        <color rgb="FF1F4E79"/>
        <rFont val="Arial"/>
        <family val="0"/>
        <charset val="1"/>
      </rPr>
      <t xml:space="preserve">Ebara, Nanfang (CNP), Kaiquan, Baiyun
</t>
    </r>
    <r>
      <rPr>
        <sz val="11"/>
        <rFont val="WenQuanYi Zen Hei"/>
        <family val="2"/>
      </rPr>
      <t xml:space="preserve">【指定品牌，不可修改】
</t>
    </r>
    <r>
      <rPr>
        <sz val="11"/>
        <color rgb="FF1F4E79"/>
        <rFont val="WenQuanYi Zen Hei"/>
        <family val="2"/>
      </rPr>
      <t xml:space="preserve">【</t>
    </r>
    <r>
      <rPr>
        <sz val="11"/>
        <color rgb="FF1F4E79"/>
        <rFont val="Arial"/>
        <family val="0"/>
        <charset val="1"/>
      </rPr>
      <t xml:space="preserve">Thương hiệu chỉ định, không được thay đổi</t>
    </r>
    <r>
      <rPr>
        <sz val="11"/>
        <color rgb="FF1F4E79"/>
        <rFont val="WenQuanYi Zen Hei"/>
        <family val="2"/>
      </rPr>
      <t xml:space="preserve">】</t>
    </r>
  </si>
  <si>
    <r>
      <rPr>
        <sz val="11"/>
        <color rgb="FF000000"/>
        <rFont val="WenQuanYi Zen Hei"/>
        <family val="2"/>
      </rPr>
      <t xml:space="preserve">在线清洗装置
</t>
    </r>
    <r>
      <rPr>
        <sz val="11"/>
        <color rgb="FF1F4E79"/>
        <rFont val="Arial"/>
        <family val="0"/>
        <charset val="1"/>
      </rPr>
      <t xml:space="preserve">Thiết bị vệ sinh trực tuyến</t>
    </r>
  </si>
  <si>
    <r>
      <rPr>
        <sz val="11"/>
        <color rgb="FF000000"/>
        <rFont val="WenQuanYi Zen Hei"/>
        <family val="2"/>
      </rPr>
      <t xml:space="preserve">管道式（胶球清洗）
</t>
    </r>
    <r>
      <rPr>
        <sz val="11"/>
        <color rgb="FF1F4E79"/>
        <rFont val="Arial"/>
        <family val="0"/>
        <charset val="1"/>
      </rPr>
      <t xml:space="preserve">Kiểu lắp trên đường ống (vệ sinh bằng bi cao su)</t>
    </r>
  </si>
  <si>
    <r>
      <rPr>
        <sz val="11"/>
        <color rgb="FF000000"/>
        <rFont val="WenQuanYi Zen Hei"/>
        <family val="2"/>
      </rPr>
      <t xml:space="preserve">全自动加药装置
</t>
    </r>
    <r>
      <rPr>
        <sz val="11"/>
        <color rgb="FF1F4E79"/>
        <rFont val="Arial"/>
        <family val="0"/>
        <charset val="1"/>
      </rPr>
      <t xml:space="preserve">Thiết bị châm hóa chất hoàn toàn tự động</t>
    </r>
  </si>
  <si>
    <r>
      <rPr>
        <sz val="11"/>
        <color rgb="FF000000"/>
        <rFont val="WenQuanYi Zen Hei"/>
        <family val="2"/>
      </rPr>
      <t xml:space="preserve">空气处理机组、风机盘管
</t>
    </r>
    <r>
      <rPr>
        <sz val="11"/>
        <color rgb="FF1F4E79"/>
        <rFont val="Arial"/>
        <family val="0"/>
        <charset val="1"/>
      </rPr>
      <t xml:space="preserve">Cụm xử lý không khí, dàn quạt (FCU)</t>
    </r>
  </si>
  <si>
    <r>
      <rPr>
        <sz val="11"/>
        <color rgb="FF000000"/>
        <rFont val="WenQuanYi Zen Hei"/>
        <family val="2"/>
      </rPr>
      <t xml:space="preserve">机房群控管理平台
</t>
    </r>
    <r>
      <rPr>
        <sz val="11"/>
        <color rgb="FF1F4E79"/>
        <rFont val="Arial"/>
        <family val="0"/>
        <charset val="1"/>
      </rPr>
      <t xml:space="preserve">Nền tảng quản lý điều khiển nhóm phòng máy</t>
    </r>
  </si>
  <si>
    <r>
      <rPr>
        <sz val="11"/>
        <color rgb="FF000000"/>
        <rFont val="WenQuanYi Zen Hei"/>
        <family val="2"/>
      </rPr>
      <t xml:space="preserve">实时能效、综合能效、设备台账、能源管理等功能模块。云端存储，云端监控。
</t>
    </r>
    <r>
      <rPr>
        <sz val="11"/>
        <color rgb="FF1F4E79"/>
        <rFont val="Arial"/>
        <family val="0"/>
        <charset val="1"/>
      </rPr>
      <t xml:space="preserve">Các mô-đun chức năng hiệu suất năng lượng thời gian thực, hiệu suất năng lượng tổng hợp, sổ quản lý thiết bị, quản lý năng lượng, v.v. Lưu trữ trên đám mây, giám sát trên đám mây.</t>
    </r>
  </si>
  <si>
    <r>
      <rPr>
        <sz val="11"/>
        <rFont val="WenQuanYi Zen Hei"/>
        <family val="2"/>
      </rPr>
      <t xml:space="preserve">运行</t>
    </r>
    <r>
      <rPr>
        <sz val="11"/>
        <rFont val="宋体"/>
        <family val="0"/>
        <charset val="1"/>
      </rPr>
      <t xml:space="preserve">3</t>
    </r>
    <r>
      <rPr>
        <sz val="11"/>
        <rFont val="WenQuanYi Zen Hei"/>
        <family val="2"/>
      </rPr>
      <t xml:space="preserve">年以上的成熟自控平台，与现有管理平台兼容
</t>
    </r>
    <r>
      <rPr>
        <sz val="11"/>
        <color rgb="FF1F4E79"/>
        <rFont val="Arial"/>
        <family val="0"/>
        <charset val="1"/>
      </rPr>
      <t xml:space="preserve">Nền tảng điều khiển tự động hoàn thiện đã vận hành trên 3 năm, tương thích với nền tảng quản lý hiện có</t>
    </r>
  </si>
  <si>
    <r>
      <rPr>
        <sz val="11"/>
        <color rgb="FF000000"/>
        <rFont val="WenQuanYi Zen Hei"/>
        <family val="2"/>
      </rPr>
      <t xml:space="preserve">高精度温度传感器
</t>
    </r>
    <r>
      <rPr>
        <sz val="11"/>
        <color rgb="FF1F4E79"/>
        <rFont val="Arial"/>
        <family val="0"/>
        <charset val="1"/>
      </rPr>
      <t xml:space="preserve">Cảm biến nhiệt độ độ chính xác cao</t>
    </r>
  </si>
  <si>
    <r>
      <rPr>
        <sz val="11"/>
        <color rgb="FF000000"/>
        <rFont val="WenQuanYi Zen Hei"/>
        <family val="2"/>
      </rPr>
      <t xml:space="preserve">温度范围</t>
    </r>
    <r>
      <rPr>
        <sz val="11"/>
        <color rgb="FF000000"/>
        <rFont val="宋体"/>
        <family val="0"/>
        <charset val="1"/>
      </rPr>
      <t xml:space="preserve">:0℃—50℃
</t>
    </r>
    <r>
      <rPr>
        <sz val="11"/>
        <color rgb="FF1F4E79"/>
        <rFont val="Arial"/>
        <family val="0"/>
        <charset val="1"/>
      </rPr>
      <t xml:space="preserve">Dải nhiệt độ: 0℃—50℃
</t>
    </r>
    <r>
      <rPr>
        <sz val="11"/>
        <color rgb="FF000000"/>
        <rFont val="宋体"/>
        <family val="0"/>
        <charset val="1"/>
      </rPr>
      <t xml:space="preserve">AA</t>
    </r>
    <r>
      <rPr>
        <sz val="11"/>
        <color rgb="FF000000"/>
        <rFont val="WenQuanYi Zen Hei"/>
        <family val="2"/>
      </rPr>
      <t xml:space="preserve">级精度，测量温度精度不低于</t>
    </r>
    <r>
      <rPr>
        <sz val="11"/>
        <color rgb="FF000000"/>
        <rFont val="宋体"/>
        <family val="0"/>
        <charset val="1"/>
      </rPr>
      <t xml:space="preserve">0.1℃
</t>
    </r>
    <r>
      <rPr>
        <sz val="11"/>
        <color rgb="FF1F4E79"/>
        <rFont val="Arial"/>
        <family val="0"/>
        <charset val="1"/>
      </rPr>
      <t xml:space="preserve">Độ chính xác cấp AA, độ chính xác đo nhiệt độ không thấp hơn 0.1℃</t>
    </r>
  </si>
  <si>
    <r>
      <rPr>
        <sz val="11"/>
        <color rgb="FF000000"/>
        <rFont val="WenQuanYi Zen Hei"/>
        <family val="2"/>
      </rPr>
      <t xml:space="preserve">普通温度传感器
</t>
    </r>
    <r>
      <rPr>
        <sz val="11"/>
        <color rgb="FF1F4E79"/>
        <rFont val="Arial"/>
        <family val="0"/>
        <charset val="1"/>
      </rPr>
      <t xml:space="preserve">Cảm biến nhiệt độ thông thường</t>
    </r>
  </si>
  <si>
    <r>
      <rPr>
        <sz val="11"/>
        <color rgb="FF000000"/>
        <rFont val="宋体"/>
        <family val="0"/>
        <charset val="1"/>
      </rPr>
      <t xml:space="preserve">A</t>
    </r>
    <r>
      <rPr>
        <sz val="11"/>
        <color rgb="FF000000"/>
        <rFont val="WenQuanYi Zen Hei"/>
        <family val="2"/>
      </rPr>
      <t xml:space="preserve">级精度，</t>
    </r>
    <r>
      <rPr>
        <sz val="11"/>
        <color rgb="FF000000"/>
        <rFont val="宋体"/>
        <family val="0"/>
        <charset val="1"/>
      </rPr>
      <t xml:space="preserve">±0.3℃
</t>
    </r>
    <r>
      <rPr>
        <sz val="11"/>
        <color rgb="FF1F4E79"/>
        <rFont val="Arial"/>
        <family val="0"/>
        <charset val="1"/>
      </rPr>
      <t xml:space="preserve">Độ chính xác cấp A, ±0.3℃</t>
    </r>
  </si>
  <si>
    <r>
      <rPr>
        <sz val="11"/>
        <color rgb="FF000000"/>
        <rFont val="WenQuanYi Zen Hei"/>
        <family val="2"/>
      </rPr>
      <t xml:space="preserve">室外温湿度传感器
</t>
    </r>
    <r>
      <rPr>
        <sz val="11"/>
        <color rgb="FF1F4E79"/>
        <rFont val="Arial"/>
        <family val="0"/>
        <charset val="1"/>
      </rPr>
      <t xml:space="preserve">Cảm biến nhiệt độ, độ ẩm ngoài trời</t>
    </r>
  </si>
  <si>
    <r>
      <rPr>
        <sz val="11"/>
        <color rgb="FF000000"/>
        <rFont val="WenQuanYi Zen Hei"/>
        <family val="2"/>
      </rPr>
      <t xml:space="preserve">精度：</t>
    </r>
    <r>
      <rPr>
        <sz val="11"/>
        <color rgb="FF000000"/>
        <rFont val="宋体"/>
        <family val="0"/>
        <charset val="1"/>
      </rPr>
      <t xml:space="preserve">±2</t>
    </r>
    <r>
      <rPr>
        <sz val="11"/>
        <color rgb="FF000000"/>
        <rFont val="WenQuanYi Zen Hei"/>
        <family val="2"/>
      </rPr>
      <t xml:space="preserve">％
</t>
    </r>
    <r>
      <rPr>
        <sz val="11"/>
        <color rgb="FF1F4E79"/>
        <rFont val="Arial"/>
        <family val="0"/>
        <charset val="1"/>
      </rPr>
      <t xml:space="preserve">Độ chính xác: ±2</t>
    </r>
    <r>
      <rPr>
        <sz val="11"/>
        <color rgb="FF1F4E79"/>
        <rFont val="WenQuanYi Zen Hei"/>
        <family val="2"/>
      </rPr>
      <t xml:space="preserve">％</t>
    </r>
  </si>
  <si>
    <r>
      <rPr>
        <sz val="11"/>
        <color rgb="FF000000"/>
        <rFont val="WenQuanYi Zen Hei"/>
        <family val="2"/>
      </rPr>
      <t xml:space="preserve">压力传感器
</t>
    </r>
    <r>
      <rPr>
        <sz val="11"/>
        <color rgb="FF1F4E79"/>
        <rFont val="Arial"/>
        <family val="0"/>
        <charset val="1"/>
      </rPr>
      <t xml:space="preserve">Cảm biến áp suất</t>
    </r>
  </si>
  <si>
    <r>
      <rPr>
        <sz val="11"/>
        <color rgb="FF000000"/>
        <rFont val="WenQuanYi Zen Hei"/>
        <family val="2"/>
      </rPr>
      <t xml:space="preserve">精度</t>
    </r>
    <r>
      <rPr>
        <sz val="11"/>
        <color rgb="FF000000"/>
        <rFont val="宋体"/>
        <family val="0"/>
        <charset val="1"/>
      </rPr>
      <t xml:space="preserve">±0.2%
</t>
    </r>
    <r>
      <rPr>
        <sz val="11"/>
        <color rgb="FF1F4E79"/>
        <rFont val="Arial"/>
        <family val="0"/>
        <charset val="1"/>
      </rPr>
      <t xml:space="preserve">Độ chính xác ±0.2%</t>
    </r>
  </si>
  <si>
    <r>
      <rPr>
        <sz val="11"/>
        <color rgb="FF000000"/>
        <rFont val="WenQuanYi Zen Hei"/>
        <family val="2"/>
      </rPr>
      <t xml:space="preserve">高精度流量计
</t>
    </r>
    <r>
      <rPr>
        <sz val="11"/>
        <color rgb="FF1F4E79"/>
        <rFont val="Arial"/>
        <family val="0"/>
        <charset val="1"/>
      </rPr>
      <t xml:space="preserve">Đồng hồ đo lưu lượng độ chính xác cao</t>
    </r>
  </si>
  <si>
    <r>
      <rPr>
        <sz val="11"/>
        <color rgb="FF000000"/>
        <rFont val="WenQuanYi Zen Hei"/>
        <family val="2"/>
      </rPr>
      <t xml:space="preserve">精度要求：不低于 </t>
    </r>
    <r>
      <rPr>
        <sz val="11"/>
        <color rgb="FF000000"/>
        <rFont val="宋体"/>
        <family val="0"/>
        <charset val="1"/>
      </rPr>
      <t xml:space="preserve">1 </t>
    </r>
    <r>
      <rPr>
        <sz val="11"/>
        <color rgb="FF000000"/>
        <rFont val="WenQuanYi Zen Hei"/>
        <family val="2"/>
      </rPr>
      <t xml:space="preserve">级 </t>
    </r>
    <r>
      <rPr>
        <sz val="11"/>
        <color rgb="FF000000"/>
        <rFont val="宋体"/>
        <family val="0"/>
        <charset val="1"/>
      </rPr>
      <t xml:space="preserve">(±0.5%)
</t>
    </r>
    <r>
      <rPr>
        <sz val="11"/>
        <color rgb="FF1F4E79"/>
        <rFont val="Arial"/>
        <family val="0"/>
        <charset val="1"/>
      </rPr>
      <t xml:space="preserve">Yêu cầu độ chính xác: không thấp hơn cấp 1 (±0.5%)
</t>
    </r>
    <r>
      <rPr>
        <sz val="11"/>
        <color rgb="FF000000"/>
        <rFont val="WenQuanYi Zen Hei"/>
        <family val="2"/>
      </rPr>
      <t xml:space="preserve">控制模块不低于</t>
    </r>
    <r>
      <rPr>
        <sz val="11"/>
        <color rgb="FF000000"/>
        <rFont val="宋体"/>
        <family val="0"/>
        <charset val="1"/>
      </rPr>
      <t xml:space="preserve">24</t>
    </r>
    <r>
      <rPr>
        <sz val="11"/>
        <color rgb="FF000000"/>
        <rFont val="WenQuanYi Zen Hei"/>
        <family val="2"/>
      </rPr>
      <t xml:space="preserve">位
</t>
    </r>
    <r>
      <rPr>
        <sz val="11"/>
        <color rgb="FF1F4E79"/>
        <rFont val="Arial"/>
        <family val="0"/>
        <charset val="1"/>
      </rPr>
      <t xml:space="preserve">Mô-đun điều khiển không thấp hơn 24 bit</t>
    </r>
  </si>
  <si>
    <r>
      <rPr>
        <sz val="11"/>
        <color rgb="FF000000"/>
        <rFont val="WenQuanYi Zen Hei"/>
        <family val="2"/>
      </rPr>
      <t xml:space="preserve">控制器</t>
    </r>
    <r>
      <rPr>
        <sz val="11"/>
        <color rgb="FF000000"/>
        <rFont val="宋体"/>
        <family val="0"/>
        <charset val="1"/>
      </rPr>
      <t xml:space="preserve">PLC
</t>
    </r>
    <r>
      <rPr>
        <sz val="11"/>
        <color rgb="FF1F4E79"/>
        <rFont val="Arial"/>
        <family val="0"/>
        <charset val="1"/>
      </rPr>
      <t xml:space="preserve">Bộ điều khiển PLC</t>
    </r>
  </si>
  <si>
    <r>
      <rPr>
        <sz val="11"/>
        <color rgb="FF000000"/>
        <rFont val="WenQuanYi Zen Hei"/>
        <family val="2"/>
      </rPr>
      <t xml:space="preserve">各种类型点数预留</t>
    </r>
    <r>
      <rPr>
        <sz val="11"/>
        <color rgb="FF000000"/>
        <rFont val="宋体"/>
        <family val="0"/>
        <charset val="1"/>
      </rPr>
      <t xml:space="preserve">10%</t>
    </r>
    <r>
      <rPr>
        <sz val="11"/>
        <color rgb="FF000000"/>
        <rFont val="WenQuanYi Zen Hei"/>
        <family val="2"/>
      </rPr>
      <t xml:space="preserve">余量
</t>
    </r>
    <r>
      <rPr>
        <sz val="11"/>
        <color rgb="FF1F4E79"/>
        <rFont val="Arial"/>
        <family val="0"/>
        <charset val="1"/>
      </rPr>
      <t xml:space="preserve">Dự phòng 10% số điểm cho mỗi loại</t>
    </r>
  </si>
  <si>
    <r>
      <rPr>
        <sz val="11"/>
        <color rgb="FF000000"/>
        <rFont val="WenQuanYi Zen Hei"/>
        <family val="2"/>
      </rPr>
      <t xml:space="preserve">西门子、施耐德
</t>
    </r>
    <r>
      <rPr>
        <sz val="11"/>
        <color rgb="FF1F4E79"/>
        <rFont val="Arial"/>
        <family val="0"/>
        <charset val="1"/>
      </rPr>
      <t xml:space="preserve">Siemens, Schneider</t>
    </r>
  </si>
  <si>
    <r>
      <rPr>
        <sz val="11"/>
        <color rgb="FF000000"/>
        <rFont val="WenQuanYi Zen Hei"/>
        <family val="2"/>
      </rPr>
      <t xml:space="preserve">操作员工作站
</t>
    </r>
    <r>
      <rPr>
        <sz val="11"/>
        <color rgb="FF1F4E79"/>
        <rFont val="Arial"/>
        <family val="0"/>
        <charset val="1"/>
      </rPr>
      <t xml:space="preserve">Trạm làm việc của người vận hành</t>
    </r>
  </si>
  <si>
    <r>
      <rPr>
        <sz val="11"/>
        <color rgb="FF000000"/>
        <rFont val="WenQuanYi Zen Hei"/>
        <family val="2"/>
      </rPr>
      <t xml:space="preserve">配备台式机
</t>
    </r>
    <r>
      <rPr>
        <sz val="11"/>
        <color rgb="FF1F4E79"/>
        <rFont val="Arial"/>
        <family val="0"/>
        <charset val="1"/>
      </rPr>
      <t xml:space="preserve">Trang bị máy tính để bàn</t>
    </r>
  </si>
  <si>
    <r>
      <rPr>
        <sz val="11"/>
        <color rgb="FF000000"/>
        <rFont val="WenQuanYi Zen Hei"/>
        <family val="2"/>
      </rPr>
      <t xml:space="preserve">联想、华为、戴尔
</t>
    </r>
    <r>
      <rPr>
        <sz val="11"/>
        <color rgb="FF1F4E79"/>
        <rFont val="Arial"/>
        <family val="0"/>
        <charset val="1"/>
      </rPr>
      <t xml:space="preserve">Lenovo, Huawei, Dell</t>
    </r>
  </si>
  <si>
    <r>
      <rPr>
        <sz val="11"/>
        <color rgb="FF000000"/>
        <rFont val="WenQuanYi Zen Hei"/>
        <family val="2"/>
      </rPr>
      <t xml:space="preserve">温差旁通阀
</t>
    </r>
    <r>
      <rPr>
        <sz val="11"/>
        <color rgb="FF1F4E79"/>
        <rFont val="Arial"/>
        <family val="0"/>
        <charset val="1"/>
      </rPr>
      <t xml:space="preserve">Van bypass chênh lệch nhiệt độ</t>
    </r>
  </si>
  <si>
    <r>
      <rPr>
        <sz val="11"/>
        <color rgb="FF000000"/>
        <rFont val="WenQuanYi Zen Hei"/>
        <family val="2"/>
      </rPr>
      <t xml:space="preserve">西门子、江森、霍尼韦尔
</t>
    </r>
    <r>
      <rPr>
        <sz val="11"/>
        <color rgb="FF1F4E79"/>
        <rFont val="Arial"/>
        <family val="0"/>
        <charset val="1"/>
      </rPr>
      <t xml:space="preserve">Siemens, Johnson Controls, Honeywell</t>
    </r>
  </si>
  <si>
    <r>
      <rPr>
        <sz val="11"/>
        <color rgb="FF000000"/>
        <rFont val="WenQuanYi Zen Hei"/>
        <family val="2"/>
      </rPr>
      <t xml:space="preserve">电动压差旁通阀
</t>
    </r>
    <r>
      <rPr>
        <sz val="11"/>
        <color rgb="FF1F4E79"/>
        <rFont val="Arial"/>
        <family val="0"/>
        <charset val="1"/>
      </rPr>
      <t xml:space="preserve">Van bypass chênh áp điện</t>
    </r>
  </si>
  <si>
    <r>
      <rPr>
        <sz val="11"/>
        <color rgb="FF000000"/>
        <rFont val="WenQuanYi Zen Hei"/>
        <family val="2"/>
      </rPr>
      <t xml:space="preserve">电动蝶阀
</t>
    </r>
    <r>
      <rPr>
        <sz val="11"/>
        <color rgb="FF1F4E79"/>
        <rFont val="Arial"/>
        <family val="0"/>
        <charset val="1"/>
      </rPr>
      <t xml:space="preserve">Van bướm điện</t>
    </r>
  </si>
  <si>
    <r>
      <rPr>
        <sz val="11"/>
        <color rgb="FF000000"/>
        <rFont val="WenQuanYi Zen Hei"/>
        <family val="2"/>
      </rPr>
      <t xml:space="preserve">比例积分调节阀
</t>
    </r>
    <r>
      <rPr>
        <sz val="11"/>
        <color rgb="FF1F4E79"/>
        <rFont val="Arial"/>
        <family val="0"/>
        <charset val="1"/>
      </rPr>
      <t xml:space="preserve">Van điều chỉnh tỷ lệ tích phân (PI)</t>
    </r>
  </si>
  <si>
    <r>
      <rPr>
        <sz val="11"/>
        <color rgb="FF000000"/>
        <rFont val="WenQuanYi Zen Hei"/>
        <family val="2"/>
      </rPr>
      <t xml:space="preserve">风机盘管电动二通阀
</t>
    </r>
    <r>
      <rPr>
        <sz val="11"/>
        <color rgb="FF1F4E79"/>
        <rFont val="Arial"/>
        <family val="0"/>
        <charset val="1"/>
      </rPr>
      <t xml:space="preserve">Van điện hai ngả cho dàn quạt (FCU)</t>
    </r>
  </si>
  <si>
    <r>
      <rPr>
        <sz val="11"/>
        <color rgb="FF000000"/>
        <rFont val="WenQuanYi Zen Hei"/>
        <family val="2"/>
      </rPr>
      <t xml:space="preserve">温控面板
</t>
    </r>
    <r>
      <rPr>
        <sz val="11"/>
        <color rgb="FF1F4E79"/>
        <rFont val="Arial"/>
        <family val="0"/>
        <charset val="1"/>
      </rPr>
      <t xml:space="preserve">Bảng điều khiển nhiệt độ</t>
    </r>
  </si>
  <si>
    <r>
      <rPr>
        <sz val="11"/>
        <color rgb="FF000000"/>
        <rFont val="WenQuanYi Zen Hei"/>
        <family val="2"/>
      </rPr>
      <t xml:space="preserve">手动蝶阀、过滤器、止回阀
</t>
    </r>
    <r>
      <rPr>
        <sz val="11"/>
        <color rgb="FF1F4E79"/>
        <rFont val="Arial"/>
        <family val="0"/>
        <charset val="1"/>
      </rPr>
      <t xml:space="preserve">Van bướm tay, bộ lọc, van một chiều</t>
    </r>
  </si>
  <si>
    <r>
      <rPr>
        <sz val="11"/>
        <color rgb="FF000000"/>
        <rFont val="WenQuanYi Zen Hei"/>
        <family val="2"/>
      </rPr>
      <t xml:space="preserve">塘沽利盾、塘沽申瑞德、塘沽富恒星
</t>
    </r>
    <r>
      <rPr>
        <sz val="11"/>
        <color rgb="FF1F4E79"/>
        <rFont val="Arial"/>
        <family val="0"/>
        <charset val="1"/>
      </rPr>
      <t xml:space="preserve">Tanggu Lidun, Tanggu Shenruide, Tanggu Fuhengxing</t>
    </r>
  </si>
  <si>
    <r>
      <rPr>
        <sz val="11"/>
        <color rgb="FF000000"/>
        <rFont val="WenQuanYi Zen Hei"/>
        <family val="2"/>
      </rPr>
      <t xml:space="preserve">橡胶软接头、金属波纹管
</t>
    </r>
    <r>
      <rPr>
        <sz val="11"/>
        <color rgb="FF1F4E79"/>
        <rFont val="Arial"/>
        <family val="0"/>
        <charset val="1"/>
      </rPr>
      <t xml:space="preserve">Khớp nối mềm cao su, ống ruột gà kim loại</t>
    </r>
  </si>
  <si>
    <r>
      <rPr>
        <sz val="11"/>
        <color rgb="FF000000"/>
        <rFont val="WenQuanYi Zen Hei"/>
        <family val="2"/>
      </rPr>
      <t xml:space="preserve">铜闸阀、铜球阀、排气阀
</t>
    </r>
    <r>
      <rPr>
        <sz val="11"/>
        <color rgb="FF1F4E79"/>
        <rFont val="Arial"/>
        <family val="0"/>
        <charset val="1"/>
      </rPr>
      <t xml:space="preserve">Van cổng đồng, van bi đồng, van xả khí</t>
    </r>
  </si>
  <si>
    <r>
      <rPr>
        <sz val="11"/>
        <rFont val="WenQuanYi Zen Hei"/>
        <family val="2"/>
      </rPr>
      <t xml:space="preserve">埃美柯、塘沽利盾、塘沽申瑞德、塘沽富恒星
</t>
    </r>
    <r>
      <rPr>
        <sz val="11"/>
        <color rgb="FF1F4E79"/>
        <rFont val="Arial"/>
        <family val="0"/>
        <charset val="1"/>
      </rPr>
      <t xml:space="preserve">AMICO, Tanggu Lidun, Tanggu Shenruide, Tanggu Fuhengxing</t>
    </r>
  </si>
  <si>
    <r>
      <rPr>
        <sz val="11"/>
        <color rgb="FF000000"/>
        <rFont val="WenQuanYi Zen Hei"/>
        <family val="2"/>
      </rPr>
      <t xml:space="preserve">压力表、温度计
</t>
    </r>
    <r>
      <rPr>
        <sz val="11"/>
        <color rgb="FF1F4E79"/>
        <rFont val="Arial"/>
        <family val="0"/>
        <charset val="1"/>
      </rPr>
      <t xml:space="preserve">Đồng hồ áp suất, nhiệt kế</t>
    </r>
  </si>
  <si>
    <r>
      <rPr>
        <sz val="11"/>
        <rFont val="WenQuanYi Zen Hei"/>
        <family val="2"/>
      </rPr>
      <t xml:space="preserve">上海仪表</t>
    </r>
    <r>
      <rPr>
        <sz val="11"/>
        <rFont val="宋体"/>
        <family val="0"/>
        <charset val="1"/>
      </rPr>
      <t xml:space="preserve">/</t>
    </r>
    <r>
      <rPr>
        <sz val="11"/>
        <rFont val="WenQuanYi Zen Hei"/>
        <family val="2"/>
      </rPr>
      <t xml:space="preserve">红旗</t>
    </r>
    <r>
      <rPr>
        <sz val="11"/>
        <rFont val="宋体"/>
        <family val="0"/>
        <charset val="1"/>
      </rPr>
      <t xml:space="preserve">/</t>
    </r>
    <r>
      <rPr>
        <sz val="11"/>
        <rFont val="WenQuanYi Zen Hei"/>
        <family val="2"/>
      </rPr>
      <t xml:space="preserve">华科</t>
    </r>
    <r>
      <rPr>
        <sz val="11"/>
        <rFont val="宋体"/>
        <family val="0"/>
        <charset val="1"/>
      </rPr>
      <t xml:space="preserve">/</t>
    </r>
    <r>
      <rPr>
        <sz val="11"/>
        <rFont val="WenQuanYi Zen Hei"/>
        <family val="2"/>
      </rPr>
      <t xml:space="preserve">富阳
</t>
    </r>
    <r>
      <rPr>
        <sz val="11"/>
        <color rgb="FF1F4E79"/>
        <rFont val="Arial"/>
        <family val="0"/>
        <charset val="1"/>
      </rPr>
      <t xml:space="preserve">Shanghai Instrument / Hongqi / Huake / Fuyang</t>
    </r>
  </si>
  <si>
    <r>
      <rPr>
        <sz val="11"/>
        <color rgb="FF000000"/>
        <rFont val="WenQuanYi Zen Hei"/>
        <family val="2"/>
      </rPr>
      <t xml:space="preserve">热镀锌钢管
</t>
    </r>
    <r>
      <rPr>
        <sz val="11"/>
        <color rgb="FF1F4E79"/>
        <rFont val="Arial"/>
        <family val="0"/>
        <charset val="1"/>
      </rPr>
      <t xml:space="preserve">Ống thép mạ kẽm nhúng nóng</t>
    </r>
  </si>
  <si>
    <r>
      <rPr>
        <sz val="11"/>
        <color rgb="FF000000"/>
        <rFont val="WenQuanYi Zen Hei"/>
        <family val="2"/>
      </rPr>
      <t xml:space="preserve">振鸿、广岐、华岐、友发、南粤
</t>
    </r>
    <r>
      <rPr>
        <sz val="11"/>
        <color rgb="FF1F4E79"/>
        <rFont val="Arial"/>
        <family val="0"/>
        <charset val="1"/>
      </rPr>
      <t xml:space="preserve">Zhenhong, Guangqi, Huaqi, Youfa, Nanyue</t>
    </r>
  </si>
  <si>
    <r>
      <rPr>
        <sz val="11"/>
        <color rgb="FF000000"/>
        <rFont val="宋体"/>
        <family val="0"/>
        <charset val="1"/>
      </rPr>
      <t xml:space="preserve">PVC</t>
    </r>
    <r>
      <rPr>
        <sz val="11"/>
        <color rgb="FF000000"/>
        <rFont val="WenQuanYi Zen Hei"/>
        <family val="2"/>
      </rPr>
      <t xml:space="preserve">水管
</t>
    </r>
    <r>
      <rPr>
        <sz val="11"/>
        <color rgb="FF1F4E79"/>
        <rFont val="Arial"/>
        <family val="0"/>
        <charset val="1"/>
      </rPr>
      <t xml:space="preserve">Ống nước PVC</t>
    </r>
  </si>
  <si>
    <r>
      <rPr>
        <sz val="11"/>
        <color rgb="FF000000"/>
        <rFont val="WenQuanYi Zen Hei"/>
        <family val="2"/>
      </rPr>
      <t xml:space="preserve">联塑、日丰
</t>
    </r>
    <r>
      <rPr>
        <sz val="11"/>
        <color rgb="FF1F4E79"/>
        <rFont val="Arial"/>
        <family val="0"/>
        <charset val="1"/>
      </rPr>
      <t xml:space="preserve">Lesso, Rifeng</t>
    </r>
  </si>
  <si>
    <r>
      <rPr>
        <sz val="11"/>
        <color rgb="FF000000"/>
        <rFont val="WenQuanYi Zen Hei"/>
        <family val="2"/>
      </rPr>
      <t xml:space="preserve">镀锌风管
</t>
    </r>
    <r>
      <rPr>
        <sz val="11"/>
        <color rgb="FF1F4E79"/>
        <rFont val="Arial"/>
        <family val="0"/>
        <charset val="1"/>
      </rPr>
      <t xml:space="preserve">Ống gió mạ kẽm</t>
    </r>
  </si>
  <si>
    <r>
      <rPr>
        <sz val="11"/>
        <color rgb="FF000000"/>
        <rFont val="WenQuanYi Zen Hei"/>
        <family val="2"/>
      </rPr>
      <t xml:space="preserve">华友、鞍钢
</t>
    </r>
    <r>
      <rPr>
        <sz val="11"/>
        <color rgb="FF1F4E79"/>
        <rFont val="Arial"/>
        <family val="0"/>
        <charset val="1"/>
      </rPr>
      <t xml:space="preserve">Huayou, Ansteel</t>
    </r>
  </si>
  <si>
    <r>
      <rPr>
        <sz val="11"/>
        <color rgb="FF000000"/>
        <rFont val="WenQuanYi Zen Hei"/>
        <family val="2"/>
      </rPr>
      <t xml:space="preserve">橡塑保温棉
</t>
    </r>
    <r>
      <rPr>
        <sz val="11"/>
        <color rgb="FF1F4E79"/>
        <rFont val="Arial"/>
        <family val="0"/>
        <charset val="1"/>
      </rPr>
      <t xml:space="preserve">Bông bảo ôn cao su xốp</t>
    </r>
  </si>
  <si>
    <r>
      <rPr>
        <sz val="11"/>
        <color rgb="FF000000"/>
        <rFont val="宋体"/>
        <family val="0"/>
        <charset val="1"/>
      </rPr>
      <t xml:space="preserve">Ord,</t>
    </r>
    <r>
      <rPr>
        <sz val="11"/>
        <color rgb="FF000000"/>
        <rFont val="WenQuanYi Zen Hei"/>
        <family val="2"/>
      </rPr>
      <t xml:space="preserve">贝柠、华美、派柏士
</t>
    </r>
    <r>
      <rPr>
        <sz val="11"/>
        <color rgb="FF1F4E79"/>
        <rFont val="Arial"/>
        <family val="0"/>
        <charset val="1"/>
      </rPr>
      <t xml:space="preserve">Ord, Beining, Huamei, Paibaishi</t>
    </r>
  </si>
  <si>
    <r>
      <rPr>
        <sz val="11"/>
        <color rgb="FF000000"/>
        <rFont val="WenQuanYi Zen Hei"/>
        <family val="2"/>
      </rPr>
      <t xml:space="preserve">多功能电力仪表
</t>
    </r>
    <r>
      <rPr>
        <sz val="11"/>
        <color rgb="FF1F4E79"/>
        <rFont val="Arial"/>
        <family val="0"/>
        <charset val="1"/>
      </rPr>
      <t xml:space="preserve">Đồng hồ đo điện đa chức năng</t>
    </r>
  </si>
  <si>
    <r>
      <rPr>
        <sz val="11"/>
        <color rgb="FF000000"/>
        <rFont val="WenQuanYi Zen Hei"/>
        <family val="2"/>
      </rPr>
      <t xml:space="preserve">电量、电压、电流、功率因数等
</t>
    </r>
    <r>
      <rPr>
        <sz val="11"/>
        <color rgb="FF1F4E79"/>
        <rFont val="Arial"/>
        <family val="0"/>
        <charset val="1"/>
      </rPr>
      <t xml:space="preserve">Điện năng, điện áp, dòng điện, hệ số công suất, v.v.</t>
    </r>
  </si>
  <si>
    <r>
      <rPr>
        <sz val="11"/>
        <color rgb="FF000000"/>
        <rFont val="WenQuanYi Zen Hei"/>
        <family val="2"/>
      </rPr>
      <t xml:space="preserve">安科瑞
</t>
    </r>
    <r>
      <rPr>
        <sz val="11"/>
        <color rgb="FF1F4E79"/>
        <rFont val="Arial"/>
        <family val="0"/>
        <charset val="1"/>
      </rPr>
      <t xml:space="preserve">Acrel</t>
    </r>
  </si>
  <si>
    <r>
      <rPr>
        <sz val="11"/>
        <color rgb="FF000000"/>
        <rFont val="WenQuanYi Zen Hei"/>
        <family val="2"/>
      </rPr>
      <t xml:space="preserve">变频器
</t>
    </r>
    <r>
      <rPr>
        <sz val="11"/>
        <color rgb="FF1F4E79"/>
        <rFont val="Arial"/>
        <family val="0"/>
        <charset val="1"/>
      </rPr>
      <t xml:space="preserve">Biến tần</t>
    </r>
  </si>
  <si>
    <r>
      <rPr>
        <sz val="11"/>
        <rFont val="宋体"/>
        <family val="0"/>
        <charset val="1"/>
      </rPr>
      <t xml:space="preserve">ABB</t>
    </r>
    <r>
      <rPr>
        <sz val="11"/>
        <rFont val="WenQuanYi Zen Hei"/>
        <family val="2"/>
      </rPr>
      <t xml:space="preserve">、施耐德、西门子
</t>
    </r>
    <r>
      <rPr>
        <sz val="11"/>
        <color rgb="FF1F4E79"/>
        <rFont val="Arial"/>
        <family val="0"/>
        <charset val="1"/>
      </rPr>
      <t xml:space="preserve">ABB, Schneider, Siemens</t>
    </r>
  </si>
  <si>
    <r>
      <rPr>
        <sz val="11"/>
        <color rgb="FF000000"/>
        <rFont val="WenQuanYi Zen Hei"/>
        <family val="2"/>
      </rPr>
      <t xml:space="preserve">低压断路器及元器件
</t>
    </r>
    <r>
      <rPr>
        <sz val="11"/>
        <color rgb="FF1F4E79"/>
        <rFont val="Arial"/>
        <family val="0"/>
        <charset val="1"/>
      </rPr>
      <t xml:space="preserve">Aptomat hạ thế và linh kiện</t>
    </r>
  </si>
  <si>
    <r>
      <rPr>
        <sz val="11"/>
        <color rgb="FF000000"/>
        <rFont val="WenQuanYi Zen Hei"/>
        <family val="2"/>
      </rPr>
      <t xml:space="preserve">电力电缆
</t>
    </r>
    <r>
      <rPr>
        <sz val="11"/>
        <color rgb="FF1F4E79"/>
        <rFont val="Arial"/>
        <family val="0"/>
        <charset val="1"/>
      </rPr>
      <t xml:space="preserve">Cáp điện lực</t>
    </r>
  </si>
  <si>
    <r>
      <rPr>
        <sz val="11"/>
        <color rgb="FF000000"/>
        <rFont val="WenQuanYi Zen Hei"/>
        <family val="2"/>
      </rPr>
      <t xml:space="preserve">深圳成天泰，南洋，</t>
    </r>
    <r>
      <rPr>
        <sz val="11"/>
        <color rgb="FF000000"/>
        <rFont val="宋体"/>
        <family val="0"/>
        <charset val="1"/>
      </rPr>
      <t xml:space="preserve">LS,Taya
</t>
    </r>
    <r>
      <rPr>
        <sz val="11"/>
        <color rgb="FF1F4E79"/>
        <rFont val="Arial"/>
        <family val="0"/>
        <charset val="1"/>
      </rPr>
      <t xml:space="preserve">Shenzhen Chengtiantai, Nanyang, LS, Taya</t>
    </r>
  </si>
  <si>
    <r>
      <rPr>
        <sz val="11"/>
        <color rgb="FF000000"/>
        <rFont val="WenQuanYi Zen Hei"/>
        <family val="2"/>
      </rPr>
      <t xml:space="preserve">控制电缆
</t>
    </r>
    <r>
      <rPr>
        <sz val="11"/>
        <color rgb="FF1F4E79"/>
        <rFont val="Arial"/>
        <family val="0"/>
        <charset val="1"/>
      </rPr>
      <t xml:space="preserve">Cáp điều khiển</t>
    </r>
  </si>
  <si>
    <r>
      <rPr>
        <sz val="11"/>
        <color rgb="FFFF0000"/>
        <rFont val="宋体"/>
        <family val="0"/>
        <charset val="1"/>
      </rPr>
      <t xml:space="preserve">1. </t>
    </r>
    <r>
      <rPr>
        <sz val="11"/>
        <color rgb="FFFF0000"/>
        <rFont val="WenQuanYi Zen Hei"/>
        <family val="2"/>
      </rPr>
      <t xml:space="preserve">表格内标注【指定品牌，不可修改】的设备及材料，投标单位不得更改品牌；
</t>
    </r>
    <r>
      <rPr>
        <sz val="11"/>
        <color rgb="FF1F4E79"/>
        <rFont val="Arial"/>
        <family val="0"/>
        <charset val="1"/>
      </rPr>
      <t xml:space="preserve">1. Đối với thiết bị và vật tư được ghi chú</t>
    </r>
    <r>
      <rPr>
        <sz val="11"/>
        <color rgb="FF1F4E79"/>
        <rFont val="WenQuanYi Zen Hei"/>
        <family val="2"/>
      </rPr>
      <t xml:space="preserve">【</t>
    </r>
    <r>
      <rPr>
        <sz val="11"/>
        <color rgb="FF1F4E79"/>
        <rFont val="Arial"/>
        <family val="0"/>
        <charset val="1"/>
      </rPr>
      <t xml:space="preserve">Thương hiệu chỉ định, không được thay đổi</t>
    </r>
    <r>
      <rPr>
        <sz val="11"/>
        <color rgb="FF1F4E79"/>
        <rFont val="WenQuanYi Zen Hei"/>
        <family val="2"/>
      </rPr>
      <t xml:space="preserve">】</t>
    </r>
    <r>
      <rPr>
        <sz val="11"/>
        <color rgb="FF1F4E79"/>
        <rFont val="Arial"/>
        <family val="0"/>
        <charset val="1"/>
      </rPr>
      <t xml:space="preserve">trong bảng, đơn vị dự thầu không được thay đổi thương hiệu;
</t>
    </r>
    <r>
      <rPr>
        <sz val="11"/>
        <color rgb="FFFF0000"/>
        <rFont val="宋体"/>
        <family val="0"/>
        <charset val="1"/>
      </rPr>
      <t xml:space="preserve">2. </t>
    </r>
    <r>
      <rPr>
        <sz val="11"/>
        <color rgb="FFFF0000"/>
        <rFont val="WenQuanYi Zen Hei"/>
        <family val="2"/>
      </rPr>
      <t xml:space="preserve">除上述指定品牌之外，其余设备、材料，投标单位可依据自身当地供应链情况选用越南本地一线品牌，但需在投标文件中完整、明确填报所选用的品牌；
</t>
    </r>
    <r>
      <rPr>
        <sz val="11"/>
        <color rgb="FF1F4E79"/>
        <rFont val="Arial"/>
        <family val="0"/>
        <charset val="1"/>
      </rPr>
      <t xml:space="preserve">2. Ngoài các thương hiệu chỉ định nêu trên, đối với các thiết bị, vật tư còn lại, đơn vị dự thầu có thể căn cứ vào tình hình chuỗi cung ứng tại địa phương của mình để lựa chọn các thương hiệu hàng đầu tại Việt Nam, nhưng phải kê khai đầy đủ, rõ ràng thương hiệu được lựa chọn trong hồ sơ dự thầu;
</t>
    </r>
    <r>
      <rPr>
        <sz val="11"/>
        <color rgb="FFFF0000"/>
        <rFont val="宋体"/>
        <family val="0"/>
        <charset val="1"/>
      </rPr>
      <t xml:space="preserve">3. </t>
    </r>
    <r>
      <rPr>
        <sz val="11"/>
        <color rgb="FFFF0000"/>
        <rFont val="WenQuanYi Zen Hei"/>
        <family val="2"/>
      </rPr>
      <t xml:space="preserve">甲方对投标人报送的替代品牌拥有最终否决权。
</t>
    </r>
    <r>
      <rPr>
        <sz val="11"/>
        <color rgb="FF1F4E79"/>
        <rFont val="Arial"/>
        <family val="0"/>
        <charset val="1"/>
      </rPr>
      <t xml:space="preserve">3. Bên A có quyền phủ quyết cuối cùng đối với thương hiệu thay thế do nhà thầu đề xuất.</t>
    </r>
  </si>
</sst>
</file>

<file path=xl/styles.xml><?xml version="1.0" encoding="utf-8"?>
<styleSheet xmlns="http://schemas.openxmlformats.org/spreadsheetml/2006/main">
  <numFmts count="12">
    <numFmt numFmtId="164" formatCode="General"/>
    <numFmt numFmtId="165" formatCode="_([$€-2]* #,##0.00_);_([$€-2]* \(#,##0.00\);_([$€-2]* \-??_)"/>
    <numFmt numFmtId="166" formatCode="[$-1E000804]m\月d\日;@"/>
    <numFmt numFmtId="167" formatCode="[DBNum2][$-804]&quot;工程总造价:&quot;General&quot;元整&quot;"/>
    <numFmt numFmtId="168" formatCode="#,##0.00_ "/>
    <numFmt numFmtId="169" formatCode="0.00_ "/>
    <numFmt numFmtId="170" formatCode="General"/>
    <numFmt numFmtId="171" formatCode="0.00%"/>
    <numFmt numFmtId="172" formatCode="0_ "/>
    <numFmt numFmtId="173" formatCode="_ * #,##0.00_ ;_ * \-#,##0.00_ ;_ * \-??_ ;_ @_ "/>
    <numFmt numFmtId="174" formatCode="0.0_ "/>
    <numFmt numFmtId="175" formatCode="0.00_);[RED]\(0.00\)"/>
  </numFmts>
  <fonts count="55">
    <font>
      <sz val="9"/>
      <color theme="1"/>
      <name val="宋体"/>
      <family val="0"/>
      <charset val="134"/>
    </font>
    <font>
      <sz val="10"/>
      <name val="Arial"/>
      <family val="0"/>
    </font>
    <font>
      <sz val="10"/>
      <name val="Arial"/>
      <family val="0"/>
    </font>
    <font>
      <sz val="10"/>
      <name val="Arial"/>
      <family val="0"/>
    </font>
    <font>
      <sz val="12"/>
      <name val="Courier New"/>
      <family val="0"/>
      <charset val="134"/>
    </font>
    <font>
      <sz val="12"/>
      <name val="Times New Roman"/>
      <family val="0"/>
      <charset val="134"/>
    </font>
    <font>
      <sz val="9"/>
      <name val="新細明體"/>
      <family val="0"/>
      <charset val="134"/>
    </font>
    <font>
      <sz val="12"/>
      <name val="宋体"/>
      <family val="0"/>
      <charset val="134"/>
    </font>
    <font>
      <sz val="11"/>
      <color theme="1"/>
      <name val="宋体"/>
      <family val="0"/>
      <charset val="134"/>
    </font>
    <font>
      <sz val="11"/>
      <name val="Calibri"/>
      <family val="0"/>
      <charset val="134"/>
    </font>
    <font>
      <sz val="12"/>
      <color rgb="FF000000"/>
      <name val="宋体"/>
      <family val="0"/>
      <charset val="134"/>
    </font>
    <font>
      <sz val="9"/>
      <name val="宋体"/>
      <family val="0"/>
      <charset val="134"/>
    </font>
    <font>
      <b val="true"/>
      <sz val="20"/>
      <name val="宋体"/>
      <family val="0"/>
      <charset val="1"/>
    </font>
    <font>
      <b val="true"/>
      <sz val="20"/>
      <name val="WenQuanYi Zen Hei"/>
      <family val="2"/>
    </font>
    <font>
      <b val="true"/>
      <sz val="20"/>
      <color rgb="FF1F4E79"/>
      <name val="Arial"/>
      <family val="0"/>
      <charset val="1"/>
    </font>
    <font>
      <b val="true"/>
      <sz val="12"/>
      <name val="WenQuanYi Zen Hei"/>
      <family val="2"/>
    </font>
    <font>
      <b val="true"/>
      <sz val="12"/>
      <name val="宋体"/>
      <family val="0"/>
      <charset val="1"/>
    </font>
    <font>
      <b val="true"/>
      <sz val="12"/>
      <color rgb="FF1F4E79"/>
      <name val="Arial"/>
      <family val="0"/>
      <charset val="1"/>
    </font>
    <font>
      <b val="true"/>
      <sz val="12"/>
      <color theme="1"/>
      <name val="宋体"/>
      <family val="0"/>
      <charset val="134"/>
    </font>
    <font>
      <b val="true"/>
      <sz val="12"/>
      <name val="宋体"/>
      <family val="0"/>
      <charset val="134"/>
    </font>
    <font>
      <b val="true"/>
      <sz val="11"/>
      <name val="WenQuanYi Zen Hei"/>
      <family val="2"/>
    </font>
    <font>
      <b val="true"/>
      <sz val="11"/>
      <color rgb="FF1F4E79"/>
      <name val="Arial"/>
      <family val="0"/>
      <charset val="1"/>
    </font>
    <font>
      <sz val="11"/>
      <name val="宋体"/>
      <family val="0"/>
      <charset val="134"/>
    </font>
    <font>
      <b val="true"/>
      <sz val="11"/>
      <name val="宋体"/>
      <family val="0"/>
      <charset val="134"/>
    </font>
    <font>
      <b val="true"/>
      <sz val="11"/>
      <name val="宋体"/>
      <family val="0"/>
      <charset val="1"/>
    </font>
    <font>
      <sz val="11"/>
      <color rgb="FFFF0000"/>
      <name val="宋体"/>
      <family val="0"/>
      <charset val="134"/>
    </font>
    <font>
      <b val="true"/>
      <sz val="11"/>
      <color rgb="FFFF0000"/>
      <name val="宋体"/>
      <family val="0"/>
      <charset val="134"/>
    </font>
    <font>
      <b val="true"/>
      <sz val="11"/>
      <color theme="1"/>
      <name val="宋体"/>
      <family val="0"/>
      <charset val="134"/>
    </font>
    <font>
      <sz val="11"/>
      <name val="WenQuanYi Zen Hei"/>
      <family val="2"/>
    </font>
    <font>
      <sz val="11"/>
      <name val="宋体"/>
      <family val="0"/>
      <charset val="1"/>
    </font>
    <font>
      <sz val="11"/>
      <color rgb="FF1F4E79"/>
      <name val="Arial"/>
      <family val="0"/>
      <charset val="1"/>
    </font>
    <font>
      <b val="true"/>
      <sz val="9"/>
      <name val="WenQuanYi Zen Hei"/>
      <family val="2"/>
    </font>
    <font>
      <b val="true"/>
      <sz val="9"/>
      <name val="宋体"/>
      <family val="0"/>
      <charset val="1"/>
    </font>
    <font>
      <b val="true"/>
      <sz val="9"/>
      <color rgb="FF1F4E79"/>
      <name val="Arial"/>
      <family val="0"/>
      <charset val="1"/>
    </font>
    <font>
      <b val="true"/>
      <sz val="9"/>
      <name val="宋体"/>
      <family val="0"/>
      <charset val="134"/>
    </font>
    <font>
      <sz val="9"/>
      <name val="WenQuanYi Zen Hei"/>
      <family val="2"/>
    </font>
    <font>
      <sz val="9"/>
      <color rgb="FF1F4E79"/>
      <name val="Arial"/>
      <family val="0"/>
      <charset val="1"/>
    </font>
    <font>
      <sz val="9"/>
      <name val="宋体"/>
      <family val="0"/>
      <charset val="1"/>
    </font>
    <font>
      <b val="true"/>
      <sz val="9"/>
      <color rgb="FFFF0000"/>
      <name val="WenQuanYi Zen Hei"/>
      <family val="2"/>
    </font>
    <font>
      <sz val="9"/>
      <color rgb="FF1F4E79"/>
      <name val="WenQuanYi Zen Hei"/>
      <family val="2"/>
    </font>
    <font>
      <sz val="9"/>
      <color rgb="FFFF0000"/>
      <name val="WenQuanYi Zen Hei"/>
      <family val="2"/>
    </font>
    <font>
      <sz val="9"/>
      <color rgb="FFFF0000"/>
      <name val="宋体"/>
      <family val="0"/>
      <charset val="1"/>
    </font>
    <font>
      <sz val="10"/>
      <name val="WenQuanYi Zen Hei"/>
      <family val="2"/>
    </font>
    <font>
      <sz val="10"/>
      <color rgb="FF1F4E79"/>
      <name val="Arial"/>
      <family val="0"/>
      <charset val="1"/>
    </font>
    <font>
      <sz val="10"/>
      <name val="宋体"/>
      <family val="0"/>
      <charset val="1"/>
    </font>
    <font>
      <sz val="10"/>
      <name val="宋体"/>
      <family val="0"/>
      <charset val="134"/>
    </font>
    <font>
      <b val="true"/>
      <sz val="16"/>
      <color rgb="FF000000"/>
      <name val="WenQuanYi Zen Hei"/>
      <family val="2"/>
    </font>
    <font>
      <b val="true"/>
      <sz val="16"/>
      <color rgb="FF1F4E79"/>
      <name val="Arial"/>
      <family val="0"/>
      <charset val="1"/>
    </font>
    <font>
      <b val="true"/>
      <sz val="12"/>
      <color rgb="FF000000"/>
      <name val="WenQuanYi Zen Hei"/>
      <family val="2"/>
    </font>
    <font>
      <sz val="11"/>
      <color rgb="FF000000"/>
      <name val="宋体"/>
      <family val="0"/>
      <charset val="134"/>
    </font>
    <font>
      <sz val="11"/>
      <color rgb="FF000000"/>
      <name val="WenQuanYi Zen Hei"/>
      <family val="2"/>
    </font>
    <font>
      <sz val="11"/>
      <color rgb="FF1F4E79"/>
      <name val="WenQuanYi Zen Hei"/>
      <family val="2"/>
    </font>
    <font>
      <sz val="11"/>
      <color rgb="FF000000"/>
      <name val="宋体"/>
      <family val="0"/>
      <charset val="1"/>
    </font>
    <font>
      <sz val="11"/>
      <color rgb="FFFF0000"/>
      <name val="宋体"/>
      <family val="0"/>
      <charset val="1"/>
    </font>
    <font>
      <sz val="11"/>
      <color rgb="FFFF0000"/>
      <name val="WenQuanYi Zen Hei"/>
      <family val="2"/>
    </font>
  </fonts>
  <fills count="4">
    <fill>
      <patternFill patternType="none"/>
    </fill>
    <fill>
      <patternFill patternType="gray125"/>
    </fill>
    <fill>
      <patternFill patternType="solid">
        <fgColor theme="0"/>
        <bgColor rgb="FFFFFFCC"/>
      </patternFill>
    </fill>
    <fill>
      <patternFill patternType="solid">
        <fgColor rgb="FFFFFF00"/>
        <bgColor rgb="FFFFFF00"/>
      </patternFill>
    </fill>
  </fills>
  <borders count="14">
    <border diagonalUp="false" diagonalDown="false">
      <left/>
      <right/>
      <top/>
      <bottom/>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style="thin"/>
      <top style="hair"/>
      <bottom style="hair"/>
      <diagonal/>
    </border>
    <border diagonalUp="false" diagonalDown="false">
      <left style="thin"/>
      <right style="thin"/>
      <top style="hair"/>
      <bottom style="thin"/>
      <diagonal/>
    </border>
    <border diagonalUp="false" diagonalDown="false">
      <left/>
      <right style="thin"/>
      <top style="hair"/>
      <bottom style="hair"/>
      <diagonal/>
    </border>
    <border diagonalUp="false" diagonalDown="false">
      <left style="thin"/>
      <right style="thin"/>
      <top style="thin"/>
      <bottom style="thin"/>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xf numFmtId="165" fontId="7" fillId="0" borderId="0" applyFont="true" applyBorder="true" applyAlignment="true" applyProtection="true">
      <alignment horizontal="general" vertical="bottom" textRotation="0" wrapText="false" indent="0" shrinkToFit="false"/>
      <protection locked="true" hidden="false"/>
    </xf>
    <xf numFmtId="166" fontId="8" fillId="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5" fontId="8"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83">
    <xf numFmtId="164"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64" fontId="12" fillId="2" borderId="0" xfId="21" applyFont="true" applyBorder="true" applyAlignment="true" applyProtection="false">
      <alignment horizontal="center" vertical="center" textRotation="0" wrapText="true" indent="0" shrinkToFit="false"/>
      <protection locked="true" hidden="false"/>
    </xf>
    <xf numFmtId="164" fontId="15" fillId="2" borderId="0" xfId="21"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center" vertical="center" textRotation="0" wrapText="false" indent="0" shrinkToFit="false"/>
      <protection locked="true" hidden="false"/>
    </xf>
    <xf numFmtId="169" fontId="18" fillId="0" borderId="0" xfId="0" applyFont="true" applyBorder="false" applyAlignment="true" applyProtection="false">
      <alignment horizontal="center" vertical="center" textRotation="0" wrapText="false" indent="0" shrinkToFit="false"/>
      <protection locked="true" hidden="false"/>
    </xf>
    <xf numFmtId="164" fontId="20" fillId="2" borderId="1" xfId="21" applyFont="true" applyBorder="true" applyAlignment="true" applyProtection="false">
      <alignment horizontal="center" vertical="center" textRotation="0" wrapText="true" indent="0" shrinkToFit="false"/>
      <protection locked="true" hidden="false"/>
    </xf>
    <xf numFmtId="164" fontId="20" fillId="2" borderId="2" xfId="21" applyFont="true" applyBorder="true" applyAlignment="true" applyProtection="false">
      <alignment horizontal="center" vertical="center" textRotation="0" wrapText="true" indent="0" shrinkToFit="false"/>
      <protection locked="true" hidden="false"/>
    </xf>
    <xf numFmtId="168" fontId="20" fillId="2" borderId="2" xfId="21" applyFont="true" applyBorder="true" applyAlignment="true" applyProtection="false">
      <alignment horizontal="center" vertical="center" textRotation="0" wrapText="true" indent="0" shrinkToFit="false"/>
      <protection locked="true" hidden="false"/>
    </xf>
    <xf numFmtId="164" fontId="20" fillId="2" borderId="3" xfId="21"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22" fillId="0" borderId="0" xfId="0" applyFont="true" applyBorder="false" applyAlignment="true" applyProtection="false">
      <alignment horizontal="center" vertical="center" textRotation="0" wrapText="false" indent="0" shrinkToFit="false"/>
      <protection locked="true" hidden="false"/>
    </xf>
    <xf numFmtId="169" fontId="8" fillId="0" borderId="0" xfId="0" applyFont="true" applyBorder="false" applyAlignment="true" applyProtection="false">
      <alignment horizontal="center" vertical="center" textRotation="0" wrapText="false" indent="0" shrinkToFit="false"/>
      <protection locked="true" hidden="false"/>
    </xf>
    <xf numFmtId="170" fontId="23" fillId="2" borderId="4" xfId="0" applyFont="true" applyBorder="true" applyAlignment="true" applyProtection="false">
      <alignment horizontal="center" vertical="center" textRotation="0" wrapText="true" indent="0" shrinkToFit="false"/>
      <protection locked="true" hidden="false"/>
    </xf>
    <xf numFmtId="164" fontId="24" fillId="2" borderId="5" xfId="21" applyFont="true" applyBorder="true" applyAlignment="true" applyProtection="false">
      <alignment horizontal="left" vertical="center" textRotation="0" wrapText="true" indent="0" shrinkToFit="false"/>
      <protection locked="true" hidden="false"/>
    </xf>
    <xf numFmtId="168" fontId="22" fillId="2" borderId="5" xfId="21" applyFont="true" applyBorder="true" applyAlignment="true" applyProtection="false">
      <alignment horizontal="center" vertical="center" textRotation="0" wrapText="true" indent="0" shrinkToFit="false"/>
      <protection locked="true" hidden="false"/>
    </xf>
    <xf numFmtId="164" fontId="22" fillId="2" borderId="6" xfId="21" applyFont="true" applyBorder="true" applyAlignment="true" applyProtection="false">
      <alignment horizontal="right" vertical="center" textRotation="0" wrapText="tru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0" fillId="2" borderId="5" xfId="21" applyFont="true" applyBorder="true" applyAlignment="true" applyProtection="false">
      <alignment horizontal="left" vertical="center" textRotation="0" wrapText="true" indent="0" shrinkToFit="false"/>
      <protection locked="true" hidden="false"/>
    </xf>
    <xf numFmtId="170" fontId="23" fillId="2" borderId="7" xfId="0" applyFont="true" applyBorder="true" applyAlignment="true" applyProtection="false">
      <alignment horizontal="center" vertical="center" textRotation="0" wrapText="true" indent="0" shrinkToFit="false"/>
      <protection locked="true" hidden="false"/>
    </xf>
    <xf numFmtId="164" fontId="20" fillId="2" borderId="8" xfId="21" applyFont="true" applyBorder="true" applyAlignment="true" applyProtection="false">
      <alignment horizontal="left" vertical="center" textRotation="0" wrapText="true" indent="0" shrinkToFit="false"/>
      <protection locked="true" hidden="false"/>
    </xf>
    <xf numFmtId="168" fontId="23" fillId="2" borderId="8" xfId="21" applyFont="true" applyBorder="true" applyAlignment="true" applyProtection="false">
      <alignment horizontal="center" vertical="center" textRotation="0" wrapText="false" indent="0" shrinkToFit="false"/>
      <protection locked="true" hidden="false"/>
    </xf>
    <xf numFmtId="164" fontId="26" fillId="2" borderId="9" xfId="21"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center" vertical="center" textRotation="0" wrapText="false" indent="0" shrinkToFit="false"/>
      <protection locked="true" hidden="false"/>
    </xf>
    <xf numFmtId="169" fontId="27" fillId="0" borderId="0" xfId="0" applyFont="true" applyBorder="false" applyAlignment="true" applyProtection="false">
      <alignment horizontal="center" vertical="center" textRotation="0" wrapText="false" indent="0" shrinkToFit="false"/>
      <protection locked="true" hidden="false"/>
    </xf>
    <xf numFmtId="164" fontId="28" fillId="2" borderId="8" xfId="21" applyFont="true" applyBorder="true" applyAlignment="true" applyProtection="false">
      <alignment horizontal="left" vertical="center" textRotation="0" wrapText="true" indent="0" shrinkToFit="false"/>
      <protection locked="true" hidden="false"/>
    </xf>
    <xf numFmtId="168" fontId="8" fillId="0" borderId="0" xfId="0" applyFont="true" applyBorder="true" applyAlignment="true" applyProtection="false">
      <alignment horizontal="left" vertical="bottom" textRotation="0" wrapText="true" indent="0" shrinkToFit="false"/>
      <protection locked="true" hidden="false"/>
    </xf>
    <xf numFmtId="168" fontId="8" fillId="0" borderId="0" xfId="0" applyFont="true" applyBorder="false" applyAlignment="true" applyProtection="false">
      <alignment horizontal="left" vertical="bottom" textRotation="0" wrapText="true" indent="0" shrinkToFit="false"/>
      <protection locked="true" hidden="false"/>
    </xf>
    <xf numFmtId="168" fontId="8" fillId="0" borderId="0" xfId="0" applyFont="true" applyBorder="true" applyAlignment="true" applyProtection="false">
      <alignment horizontal="left"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left" vertical="center" textRotation="0" wrapText="false" indent="0" shrinkToFit="false"/>
      <protection locked="true" hidden="false"/>
    </xf>
    <xf numFmtId="169" fontId="7" fillId="0" borderId="0" xfId="0" applyFont="true" applyBorder="false" applyAlignment="true" applyProtection="false">
      <alignment horizontal="center" vertical="center" textRotation="0" wrapText="fals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72" fontId="11" fillId="2" borderId="0" xfId="0" applyFont="true" applyBorder="false" applyAlignment="true" applyProtection="false">
      <alignment horizontal="center" vertical="bottom" textRotation="0" wrapText="false" indent="0" shrinkToFit="false"/>
      <protection locked="true" hidden="false"/>
    </xf>
    <xf numFmtId="169" fontId="11" fillId="2" borderId="0" xfId="0" applyFont="true" applyBorder="false" applyAlignment="true" applyProtection="false">
      <alignment horizontal="center" vertical="bottom" textRotation="0" wrapText="false" indent="0" shrinkToFit="false"/>
      <protection locked="true" hidden="false"/>
    </xf>
    <xf numFmtId="173" fontId="11" fillId="2" borderId="0" xfId="0" applyFont="true" applyBorder="false" applyAlignment="true" applyProtection="false">
      <alignment horizontal="center" vertical="bottom" textRotation="0" wrapText="false" indent="0" shrinkToFit="false"/>
      <protection locked="true" hidden="false"/>
    </xf>
    <xf numFmtId="173" fontId="11" fillId="2" borderId="0" xfId="0" applyFont="true" applyBorder="false" applyAlignment="true" applyProtection="false">
      <alignment horizontal="center" vertical="center" textRotation="0" wrapText="false" indent="0" shrinkToFit="false"/>
      <protection locked="true" hidden="false"/>
    </xf>
    <xf numFmtId="173" fontId="11" fillId="2" borderId="0" xfId="0" applyFont="true" applyBorder="false" applyAlignment="false" applyProtection="false">
      <alignment horizontal="general" vertical="bottom" textRotation="0" wrapText="false" indent="0" shrinkToFit="false"/>
      <protection locked="true" hidden="false"/>
    </xf>
    <xf numFmtId="164" fontId="13" fillId="2" borderId="0" xfId="21" applyFont="true" applyBorder="true" applyAlignment="true" applyProtection="false">
      <alignment horizontal="center" vertical="center" textRotation="0" wrapText="true" indent="0" shrinkToFit="false"/>
      <protection locked="true" hidden="false"/>
    </xf>
    <xf numFmtId="164" fontId="31" fillId="2" borderId="0" xfId="21" applyFont="true" applyBorder="true" applyAlignment="true" applyProtection="false">
      <alignment horizontal="left" vertical="center" textRotation="0" wrapText="true" indent="0" shrinkToFit="false"/>
      <protection locked="true" hidden="false"/>
    </xf>
    <xf numFmtId="173" fontId="11" fillId="2" borderId="0" xfId="0" applyFont="true" applyBorder="true" applyAlignment="true" applyProtection="false">
      <alignment horizontal="center" vertical="center" textRotation="0" wrapText="false" indent="0" shrinkToFit="false"/>
      <protection locked="true" hidden="false"/>
    </xf>
    <xf numFmtId="173" fontId="11" fillId="2" borderId="0" xfId="0" applyFont="true" applyBorder="false" applyAlignment="true" applyProtection="false">
      <alignment horizontal="general" vertical="center"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31" fillId="2" borderId="1" xfId="21" applyFont="true" applyBorder="true" applyAlignment="true" applyProtection="false">
      <alignment horizontal="center" vertical="center" textRotation="0" wrapText="true" indent="0" shrinkToFit="false"/>
      <protection locked="true" hidden="false"/>
    </xf>
    <xf numFmtId="164" fontId="31" fillId="2" borderId="2" xfId="21" applyFont="true" applyBorder="true" applyAlignment="true" applyProtection="false">
      <alignment horizontal="center" vertical="center" textRotation="0" wrapText="true" indent="0" shrinkToFit="false"/>
      <protection locked="true" hidden="false"/>
    </xf>
    <xf numFmtId="172" fontId="31" fillId="2" borderId="2" xfId="21" applyFont="true" applyBorder="true" applyAlignment="true" applyProtection="false">
      <alignment horizontal="center" vertical="center" textRotation="0" wrapText="true" indent="0" shrinkToFit="false"/>
      <protection locked="true" hidden="false"/>
    </xf>
    <xf numFmtId="173" fontId="31" fillId="2" borderId="2" xfId="21" applyFont="true" applyBorder="true" applyAlignment="true" applyProtection="false">
      <alignment horizontal="center" vertical="center" textRotation="0" wrapText="true" indent="0" shrinkToFit="false"/>
      <protection locked="true" hidden="false"/>
    </xf>
    <xf numFmtId="173" fontId="31" fillId="0" borderId="2" xfId="21" applyFont="true" applyBorder="true" applyAlignment="true" applyProtection="false">
      <alignment horizontal="center" vertical="center" textRotation="0" wrapText="true" indent="0" shrinkToFit="false"/>
      <protection locked="true" hidden="false"/>
    </xf>
    <xf numFmtId="169" fontId="31" fillId="2" borderId="3" xfId="21" applyFont="true" applyBorder="true" applyAlignment="true" applyProtection="false">
      <alignment horizontal="center" vertical="center" textRotation="0" wrapText="true" indent="0" shrinkToFit="false"/>
      <protection locked="true" hidden="false"/>
    </xf>
    <xf numFmtId="172" fontId="31" fillId="2" borderId="5" xfId="21" applyFont="true" applyBorder="true" applyAlignment="true" applyProtection="false">
      <alignment horizontal="center" vertical="center" textRotation="0" wrapText="true" indent="0" shrinkToFit="false"/>
      <protection locked="true" hidden="false"/>
    </xf>
    <xf numFmtId="169" fontId="31" fillId="2" borderId="5" xfId="21" applyFont="true" applyBorder="true" applyAlignment="true" applyProtection="false">
      <alignment horizontal="center" vertical="center" textRotation="0" wrapText="true" indent="0" shrinkToFit="false"/>
      <protection locked="true" hidden="false"/>
    </xf>
    <xf numFmtId="164" fontId="31" fillId="2" borderId="4" xfId="21" applyFont="true" applyBorder="true" applyAlignment="true" applyProtection="false">
      <alignment horizontal="center" vertical="center" textRotation="0" wrapText="true" indent="0" shrinkToFit="false"/>
      <protection locked="true" hidden="false"/>
    </xf>
    <xf numFmtId="164" fontId="31" fillId="2" borderId="5" xfId="21" applyFont="true" applyBorder="true" applyAlignment="true" applyProtection="false">
      <alignment horizontal="center" vertical="center" textRotation="0" wrapText="true" indent="0" shrinkToFit="false"/>
      <protection locked="true" hidden="false"/>
    </xf>
    <xf numFmtId="164" fontId="34" fillId="2" borderId="5" xfId="21" applyFont="true" applyBorder="true" applyAlignment="true" applyProtection="false">
      <alignment horizontal="left" vertical="center" textRotation="0" wrapText="true" indent="0" shrinkToFit="false"/>
      <protection locked="true" hidden="false"/>
    </xf>
    <xf numFmtId="173" fontId="34" fillId="2" borderId="5" xfId="21" applyFont="true" applyBorder="true" applyAlignment="true" applyProtection="false">
      <alignment horizontal="center" vertical="center" textRotation="0" wrapText="true" indent="0" shrinkToFit="false"/>
      <protection locked="true" hidden="false"/>
    </xf>
    <xf numFmtId="164" fontId="34" fillId="2" borderId="6" xfId="21" applyFont="true" applyBorder="true" applyAlignment="true" applyProtection="false">
      <alignment horizontal="center" vertical="center" textRotation="0" wrapText="true" indent="0" shrinkToFit="false"/>
      <protection locked="true" hidden="false"/>
    </xf>
    <xf numFmtId="164" fontId="11" fillId="0" borderId="4" xfId="21" applyFont="true" applyBorder="true" applyAlignment="true" applyProtection="false">
      <alignment horizontal="center" vertical="center" textRotation="0" wrapText="true" indent="0" shrinkToFit="false"/>
      <protection locked="true" hidden="false"/>
    </xf>
    <xf numFmtId="164" fontId="35" fillId="0" borderId="5" xfId="21" applyFont="true" applyBorder="true" applyAlignment="true" applyProtection="false">
      <alignment horizontal="center" vertical="center" textRotation="0" wrapText="true" indent="0" shrinkToFit="false"/>
      <protection locked="true" hidden="false"/>
    </xf>
    <xf numFmtId="164" fontId="37" fillId="0" borderId="5" xfId="21" applyFont="true" applyBorder="true" applyAlignment="true" applyProtection="false">
      <alignment horizontal="left" vertical="center" textRotation="0" wrapText="true" indent="0" shrinkToFit="false"/>
      <protection locked="true" hidden="false"/>
    </xf>
    <xf numFmtId="172" fontId="11" fillId="0" borderId="5" xfId="21" applyFont="true" applyBorder="true" applyAlignment="true" applyProtection="false">
      <alignment horizontal="center" vertical="center" textRotation="0" wrapText="true" indent="0" shrinkToFit="false"/>
      <protection locked="true" hidden="false"/>
    </xf>
    <xf numFmtId="173" fontId="11" fillId="0" borderId="5" xfId="21" applyFont="true" applyBorder="true" applyAlignment="true" applyProtection="false">
      <alignment horizontal="center" vertical="center" textRotation="0" wrapText="true" indent="0" shrinkToFit="false"/>
      <protection locked="true" hidden="false"/>
    </xf>
    <xf numFmtId="164" fontId="38" fillId="0" borderId="6" xfId="21" applyFont="true" applyBorder="true" applyAlignment="true" applyProtection="false">
      <alignment horizontal="center" vertical="center" textRotation="0" wrapText="true" indent="0" shrinkToFit="false"/>
      <protection locked="true" hidden="false"/>
    </xf>
    <xf numFmtId="164" fontId="35" fillId="0" borderId="6" xfId="21" applyFont="true" applyBorder="true" applyAlignment="true" applyProtection="false">
      <alignment horizontal="center" vertical="center" textRotation="0" wrapText="true" indent="0" shrinkToFit="false"/>
      <protection locked="true" hidden="false"/>
    </xf>
    <xf numFmtId="164" fontId="37" fillId="0" borderId="6" xfId="21" applyFont="true" applyBorder="true" applyAlignment="true" applyProtection="false">
      <alignment horizontal="center" vertical="center" textRotation="0" wrapText="true" indent="0" shrinkToFit="false"/>
      <protection locked="true" hidden="false"/>
    </xf>
    <xf numFmtId="164" fontId="35" fillId="3" borderId="5" xfId="21" applyFont="true" applyBorder="true" applyAlignment="true" applyProtection="false">
      <alignment horizontal="center" vertical="center" textRotation="0" wrapText="true" indent="0" shrinkToFit="false"/>
      <protection locked="true" hidden="false"/>
    </xf>
    <xf numFmtId="164" fontId="37" fillId="3" borderId="5" xfId="21" applyFont="true" applyBorder="true" applyAlignment="true" applyProtection="false">
      <alignment horizontal="left" vertical="center" textRotation="0" wrapText="true" indent="0" shrinkToFit="false"/>
      <protection locked="true" hidden="false"/>
    </xf>
    <xf numFmtId="172" fontId="11" fillId="3" borderId="5" xfId="21" applyFont="true" applyBorder="true" applyAlignment="true" applyProtection="false">
      <alignment horizontal="center" vertical="center" textRotation="0" wrapText="true" indent="0" shrinkToFit="false"/>
      <protection locked="true" hidden="false"/>
    </xf>
    <xf numFmtId="164" fontId="40" fillId="0" borderId="6" xfId="21" applyFont="true" applyBorder="true" applyAlignment="true" applyProtection="false">
      <alignment horizontal="center" vertical="center" textRotation="0" wrapText="true" indent="0" shrinkToFit="false"/>
      <protection locked="true" hidden="false"/>
    </xf>
    <xf numFmtId="173" fontId="11"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31" fillId="0" borderId="5" xfId="21" applyFont="true" applyBorder="true" applyAlignment="true" applyProtection="false">
      <alignment horizontal="center" vertical="center" textRotation="0" wrapText="true" indent="0" shrinkToFit="false"/>
      <protection locked="true" hidden="false"/>
    </xf>
    <xf numFmtId="172" fontId="34" fillId="0" borderId="5" xfId="21" applyFont="true" applyBorder="true" applyAlignment="true" applyProtection="false">
      <alignment horizontal="center" vertical="center" textRotation="0" wrapText="true" indent="0" shrinkToFit="false"/>
      <protection locked="true" hidden="false"/>
    </xf>
    <xf numFmtId="169" fontId="34" fillId="0" borderId="5" xfId="21" applyFont="true" applyBorder="true" applyAlignment="true" applyProtection="false">
      <alignment horizontal="center" vertical="center" textRotation="0" wrapText="true" indent="0" shrinkToFit="false"/>
      <protection locked="true" hidden="false"/>
    </xf>
    <xf numFmtId="173" fontId="34" fillId="0" borderId="5" xfId="21" applyFont="true" applyBorder="true" applyAlignment="true" applyProtection="false">
      <alignment horizontal="center" vertical="center" textRotation="0" wrapText="true" indent="0" shrinkToFit="false"/>
      <protection locked="true" hidden="false"/>
    </xf>
    <xf numFmtId="164" fontId="34" fillId="0" borderId="6" xfId="21" applyFont="true" applyBorder="true" applyAlignment="true" applyProtection="false">
      <alignment horizontal="center" vertical="center" textRotation="0" wrapText="true" indent="0" shrinkToFit="false"/>
      <protection locked="true" hidden="false"/>
    </xf>
    <xf numFmtId="164" fontId="31" fillId="0" borderId="4" xfId="21" applyFont="true" applyBorder="true" applyAlignment="true" applyProtection="false">
      <alignment horizontal="center" vertical="center" textRotation="0" wrapText="true" indent="0" shrinkToFit="false"/>
      <protection locked="true" hidden="false"/>
    </xf>
    <xf numFmtId="173" fontId="11" fillId="0" borderId="0" xfId="0" applyFont="true" applyBorder="false" applyAlignment="true" applyProtection="false">
      <alignment horizontal="center" vertical="center" textRotation="0" wrapText="false" indent="0" shrinkToFit="false"/>
      <protection locked="true" hidden="false"/>
    </xf>
    <xf numFmtId="164" fontId="11" fillId="0" borderId="5" xfId="21" applyFont="true" applyBorder="true" applyAlignment="true" applyProtection="false">
      <alignment horizontal="center" vertical="center" textRotation="0" wrapText="true" indent="0" shrinkToFit="false"/>
      <protection locked="true" hidden="false"/>
    </xf>
    <xf numFmtId="174" fontId="11" fillId="0" borderId="5" xfId="21" applyFont="true" applyBorder="true" applyAlignment="true" applyProtection="false">
      <alignment horizontal="center" vertical="center" textRotation="0" wrapText="true" indent="0" shrinkToFit="false"/>
      <protection locked="true" hidden="false"/>
    </xf>
    <xf numFmtId="164" fontId="37" fillId="0" borderId="5" xfId="21" applyFont="true" applyBorder="true" applyAlignment="true" applyProtection="false">
      <alignment horizontal="center" vertical="center" textRotation="0" wrapText="true" indent="0" shrinkToFit="false"/>
      <protection locked="true" hidden="false"/>
    </xf>
    <xf numFmtId="164" fontId="42" fillId="0" borderId="5" xfId="21" applyFont="true" applyBorder="true" applyAlignment="true" applyProtection="false">
      <alignment horizontal="center" vertical="center" textRotation="0" wrapText="true" indent="0" shrinkToFit="false"/>
      <protection locked="true" hidden="false"/>
    </xf>
    <xf numFmtId="164" fontId="44" fillId="0" borderId="5" xfId="21" applyFont="true" applyBorder="true" applyAlignment="true" applyProtection="false">
      <alignment horizontal="left" vertical="center" textRotation="0" wrapText="true" indent="0" shrinkToFit="false"/>
      <protection locked="true" hidden="false"/>
    </xf>
    <xf numFmtId="164" fontId="45" fillId="0" borderId="5" xfId="21" applyFont="true" applyBorder="true" applyAlignment="true" applyProtection="false">
      <alignment horizontal="center" vertical="center" textRotation="0" wrapText="true" indent="0" shrinkToFit="false"/>
      <protection locked="true" hidden="false"/>
    </xf>
    <xf numFmtId="174" fontId="45" fillId="0" borderId="5" xfId="0" applyFont="true" applyBorder="true" applyAlignment="true" applyProtection="false">
      <alignment horizontal="center" vertical="center" textRotation="0" wrapText="false" indent="0" shrinkToFit="false"/>
      <protection locked="true" hidden="false"/>
    </xf>
    <xf numFmtId="164" fontId="44" fillId="0" borderId="6" xfId="21" applyFont="true" applyBorder="true" applyAlignment="true" applyProtection="false">
      <alignment horizontal="center" vertical="center" textRotation="0" wrapText="tru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3" fontId="11" fillId="0" borderId="5" xfId="0" applyFont="true" applyBorder="true" applyAlignment="true" applyProtection="false">
      <alignment horizontal="center" vertical="center" textRotation="0" wrapText="true" indent="0" shrinkToFit="false"/>
      <protection locked="true" hidden="false"/>
    </xf>
    <xf numFmtId="169" fontId="11" fillId="0" borderId="6" xfId="21" applyFont="true" applyBorder="true" applyAlignment="true" applyProtection="false">
      <alignment horizontal="center" vertical="center" textRotation="0" wrapText="true" indent="0" shrinkToFit="false"/>
      <protection locked="true" hidden="false"/>
    </xf>
    <xf numFmtId="164" fontId="40" fillId="0" borderId="5" xfId="21" applyFont="true" applyBorder="true" applyAlignment="true" applyProtection="false">
      <alignment horizontal="center" vertical="center" textRotation="0" wrapText="true" indent="0" shrinkToFit="false"/>
      <protection locked="true" hidden="false"/>
    </xf>
    <xf numFmtId="164" fontId="41" fillId="0" borderId="5" xfId="21" applyFont="true" applyBorder="true" applyAlignment="true" applyProtection="false">
      <alignment horizontal="left" vertical="center" textRotation="0" wrapText="true" indent="0" shrinkToFit="false"/>
      <protection locked="true" hidden="false"/>
    </xf>
    <xf numFmtId="164" fontId="40" fillId="0" borderId="5" xfId="21" applyFont="true" applyBorder="true" applyAlignment="true" applyProtection="false">
      <alignment horizontal="left" vertical="center" textRotation="0" wrapText="true" indent="0" shrinkToFit="false"/>
      <protection locked="true" hidden="false"/>
    </xf>
    <xf numFmtId="164" fontId="11" fillId="2" borderId="6" xfId="0" applyFont="true" applyBorder="true" applyAlignment="true" applyProtection="false">
      <alignment horizontal="center" vertical="bottom" textRotation="0" wrapText="false" indent="0" shrinkToFit="false"/>
      <protection locked="true" hidden="false"/>
    </xf>
    <xf numFmtId="164" fontId="35" fillId="0" borderId="5" xfId="21" applyFont="true" applyBorder="true" applyAlignment="true" applyProtection="false">
      <alignment horizontal="left" vertical="center" textRotation="0" wrapText="true" indent="0" shrinkToFit="false"/>
      <protection locked="true" hidden="false"/>
    </xf>
    <xf numFmtId="164" fontId="11" fillId="0" borderId="6" xfId="0" applyFont="true" applyBorder="true" applyAlignment="true" applyProtection="false">
      <alignment horizontal="center" vertical="bottom" textRotation="0" wrapText="false" indent="0" shrinkToFit="false"/>
      <protection locked="true" hidden="false"/>
    </xf>
    <xf numFmtId="164" fontId="31" fillId="0" borderId="7" xfId="21" applyFont="true" applyBorder="true" applyAlignment="true" applyProtection="false">
      <alignment horizontal="center" vertical="center" textRotation="0" wrapText="true" indent="0" shrinkToFit="false"/>
      <protection locked="true" hidden="false"/>
    </xf>
    <xf numFmtId="164" fontId="34" fillId="0" borderId="8" xfId="21" applyFont="true" applyBorder="true" applyAlignment="true" applyProtection="false">
      <alignment horizontal="general" vertical="center" textRotation="0" wrapText="true" indent="0" shrinkToFit="false"/>
      <protection locked="true" hidden="false"/>
    </xf>
    <xf numFmtId="172" fontId="34" fillId="0" borderId="8" xfId="21" applyFont="true" applyBorder="true" applyAlignment="true" applyProtection="false">
      <alignment horizontal="general" vertical="center" textRotation="0" wrapText="true" indent="0" shrinkToFit="false"/>
      <protection locked="true" hidden="false"/>
    </xf>
    <xf numFmtId="169" fontId="34" fillId="0" borderId="8" xfId="21" applyFont="true" applyBorder="true" applyAlignment="true" applyProtection="false">
      <alignment horizontal="center" vertical="center" textRotation="0" wrapText="true" indent="0" shrinkToFit="false"/>
      <protection locked="true" hidden="false"/>
    </xf>
    <xf numFmtId="173" fontId="34" fillId="0" borderId="8" xfId="21" applyFont="true" applyBorder="true" applyAlignment="true" applyProtection="false">
      <alignment horizontal="center" vertical="center" textRotation="0" wrapText="true" indent="0" shrinkToFit="false"/>
      <protection locked="true" hidden="false"/>
    </xf>
    <xf numFmtId="164" fontId="34" fillId="0" borderId="9" xfId="21"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72" fontId="22" fillId="0" borderId="0" xfId="0" applyFont="true" applyBorder="false" applyAlignment="true" applyProtection="false">
      <alignment horizontal="general" vertical="center" textRotation="0" wrapText="false" indent="0" shrinkToFit="false"/>
      <protection locked="true" hidden="false"/>
    </xf>
    <xf numFmtId="173" fontId="22" fillId="0" borderId="0" xfId="0" applyFont="true" applyBorder="false" applyAlignment="true" applyProtection="false">
      <alignment horizontal="general" vertical="center" textRotation="0" wrapText="false" indent="0" shrinkToFit="false"/>
      <protection locked="true" hidden="false"/>
    </xf>
    <xf numFmtId="173" fontId="22" fillId="0" borderId="0" xfId="0" applyFont="true" applyBorder="false" applyAlignment="true" applyProtection="false">
      <alignment horizontal="center" vertical="center" textRotation="0" wrapText="false" indent="0" shrinkToFit="false"/>
      <protection locked="true" hidden="false"/>
    </xf>
    <xf numFmtId="174" fontId="22" fillId="0"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75" fontId="31" fillId="2" borderId="0" xfId="0" applyFont="true" applyBorder="true" applyAlignment="true" applyProtection="false">
      <alignment horizontal="left" vertical="center" textRotation="0" wrapText="true" indent="0" shrinkToFit="false"/>
      <protection locked="true" hidden="false"/>
    </xf>
    <xf numFmtId="169" fontId="11" fillId="2" borderId="0" xfId="0" applyFont="true" applyBorder="false" applyAlignment="true" applyProtection="false">
      <alignment horizontal="center" vertical="center" textRotation="0" wrapText="false" indent="0" shrinkToFit="false"/>
      <protection locked="true" hidden="false"/>
    </xf>
    <xf numFmtId="174" fontId="31" fillId="2" borderId="3" xfId="0" applyFont="true" applyBorder="true" applyAlignment="true" applyProtection="false">
      <alignment horizontal="center" vertical="center" textRotation="0" wrapText="true" indent="0" shrinkToFit="false"/>
      <protection locked="true" hidden="false"/>
    </xf>
    <xf numFmtId="173" fontId="31" fillId="2" borderId="5" xfId="21" applyFont="true" applyBorder="true" applyAlignment="true" applyProtection="false">
      <alignment horizontal="center" vertical="center" textRotation="0" wrapText="true" indent="0" shrinkToFit="false"/>
      <protection locked="true" hidden="false"/>
    </xf>
    <xf numFmtId="164" fontId="35" fillId="0" borderId="5" xfId="0" applyFont="true" applyBorder="true" applyAlignment="true" applyProtection="false">
      <alignment horizontal="center" vertical="center" textRotation="0" wrapText="true" indent="0" shrinkToFit="false"/>
      <protection locked="true" hidden="false"/>
    </xf>
    <xf numFmtId="164" fontId="35" fillId="0" borderId="5" xfId="27" applyFont="true" applyBorder="true" applyAlignment="true" applyProtection="false">
      <alignment horizontal="left" vertical="center" textRotation="0" wrapText="true" indent="0" shrinkToFit="false"/>
      <protection locked="true" hidden="false"/>
    </xf>
    <xf numFmtId="164" fontId="35" fillId="0" borderId="5" xfId="27" applyFont="true" applyBorder="true" applyAlignment="true" applyProtection="false">
      <alignment horizontal="center" vertical="center" textRotation="0" wrapText="true" indent="0" shrinkToFit="false"/>
      <protection locked="true" hidden="false"/>
    </xf>
    <xf numFmtId="172" fontId="11" fillId="0" borderId="5" xfId="0" applyFont="true" applyBorder="true" applyAlignment="true" applyProtection="false">
      <alignment horizontal="center" vertical="center" textRotation="0" wrapText="true" indent="0" shrinkToFit="false"/>
      <protection locked="true" hidden="false"/>
    </xf>
    <xf numFmtId="174" fontId="35" fillId="0" borderId="10" xfId="0" applyFont="true" applyBorder="true" applyAlignment="true" applyProtection="false">
      <alignment horizontal="center" vertical="center" textRotation="0" wrapText="true" indent="0" shrinkToFit="false"/>
      <protection locked="true" hidden="false"/>
    </xf>
    <xf numFmtId="164" fontId="37" fillId="0" borderId="5" xfId="0" applyFont="true" applyBorder="true" applyAlignment="true" applyProtection="false">
      <alignment horizontal="center" vertical="center" textRotation="0" wrapText="true" indent="0" shrinkToFit="false"/>
      <protection locked="true" hidden="false"/>
    </xf>
    <xf numFmtId="164" fontId="11" fillId="0" borderId="5" xfId="27" applyFont="true" applyBorder="true" applyAlignment="true" applyProtection="false">
      <alignment horizontal="left" vertical="center" textRotation="0" wrapText="true" indent="0" shrinkToFit="false"/>
      <protection locked="true" hidden="false"/>
    </xf>
    <xf numFmtId="164" fontId="37" fillId="0" borderId="5" xfId="27" applyFont="true" applyBorder="true" applyAlignment="true" applyProtection="false">
      <alignment horizontal="left" vertical="center" textRotation="0" wrapText="true" indent="0" shrinkToFit="false"/>
      <protection locked="true" hidden="false"/>
    </xf>
    <xf numFmtId="174" fontId="37" fillId="0" borderId="10" xfId="0" applyFont="true" applyBorder="true" applyAlignment="true" applyProtection="false">
      <alignment horizontal="center" vertical="center" textRotation="0" wrapText="true" indent="0" shrinkToFit="false"/>
      <protection locked="true" hidden="false"/>
    </xf>
    <xf numFmtId="164" fontId="37" fillId="0" borderId="5" xfId="0" applyFont="true" applyBorder="true" applyAlignment="true" applyProtection="false">
      <alignment horizontal="left" vertical="center" textRotation="0" wrapText="true" indent="0" shrinkToFit="false"/>
      <protection locked="true" hidden="false"/>
    </xf>
    <xf numFmtId="172" fontId="11" fillId="0" borderId="5" xfId="27" applyFont="true" applyBorder="true" applyAlignment="true" applyProtection="false">
      <alignment horizontal="center" vertical="center" textRotation="0" wrapText="true" indent="0" shrinkToFit="false"/>
      <protection locked="true" hidden="false"/>
    </xf>
    <xf numFmtId="174" fontId="11" fillId="0" borderId="10" xfId="27" applyFont="true" applyBorder="true" applyAlignment="true" applyProtection="false">
      <alignment horizontal="center" vertical="center" textRotation="0" wrapText="true" indent="0" shrinkToFit="false"/>
      <protection locked="true" hidden="false"/>
    </xf>
    <xf numFmtId="164" fontId="11" fillId="0" borderId="10" xfId="0" applyFont="true" applyBorder="true" applyAlignment="true" applyProtection="false">
      <alignment horizontal="center" vertical="center" textRotation="0" wrapText="true" indent="0" shrinkToFit="false"/>
      <protection locked="true" hidden="false"/>
    </xf>
    <xf numFmtId="164" fontId="35" fillId="0" borderId="10" xfId="0" applyFont="true" applyBorder="true" applyAlignment="true" applyProtection="false">
      <alignment horizontal="center" vertical="center" textRotation="0" wrapText="true" indent="0" shrinkToFit="false"/>
      <protection locked="true" hidden="false"/>
    </xf>
    <xf numFmtId="164" fontId="11" fillId="0" borderId="5" xfId="27" applyFont="true" applyBorder="true" applyAlignment="true" applyProtection="false">
      <alignment horizontal="center" vertical="center" textRotation="0" wrapText="true" indent="0" shrinkToFit="false"/>
      <protection locked="true" hidden="false"/>
    </xf>
    <xf numFmtId="174" fontId="11" fillId="0" borderId="5" xfId="27" applyFont="true" applyBorder="true" applyAlignment="true" applyProtection="false">
      <alignment horizontal="center" vertical="center" textRotation="0" wrapText="true" indent="0" shrinkToFit="false"/>
      <protection locked="true" hidden="false"/>
    </xf>
    <xf numFmtId="174" fontId="11" fillId="0" borderId="5" xfId="0" applyFont="true" applyBorder="true" applyAlignment="true" applyProtection="false">
      <alignment horizontal="center" vertical="center" textRotation="0" wrapText="true" indent="0" shrinkToFit="false"/>
      <protection locked="true" hidden="false"/>
    </xf>
    <xf numFmtId="164" fontId="11" fillId="0" borderId="5" xfId="0" applyFont="true" applyBorder="true" applyAlignment="true" applyProtection="false">
      <alignment horizontal="center" vertical="center" textRotation="0" wrapText="true" indent="0" shrinkToFit="false"/>
      <protection locked="true" hidden="false"/>
    </xf>
    <xf numFmtId="164" fontId="34" fillId="0" borderId="7" xfId="21" applyFont="true" applyBorder="true" applyAlignment="true" applyProtection="false">
      <alignment horizontal="center" vertical="center" textRotation="0" wrapText="true" indent="0" shrinkToFit="false"/>
      <protection locked="true" hidden="false"/>
    </xf>
    <xf numFmtId="164" fontId="31" fillId="0" borderId="8" xfId="21" applyFont="true" applyBorder="true" applyAlignment="true" applyProtection="false">
      <alignment horizontal="center" vertical="center" textRotation="0" wrapText="true" indent="0" shrinkToFit="false"/>
      <protection locked="true" hidden="false"/>
    </xf>
    <xf numFmtId="174" fontId="11" fillId="0" borderId="1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72" fontId="11" fillId="0" borderId="0" xfId="0" applyFont="tru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true" applyProtection="false">
      <alignment horizontal="center" vertical="bottom" textRotation="0" wrapText="false" indent="0" shrinkToFit="false"/>
      <protection locked="true" hidden="false"/>
    </xf>
    <xf numFmtId="173" fontId="11" fillId="0" borderId="0" xfId="0" applyFont="tru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21" applyFont="true" applyBorder="true" applyAlignment="true" applyProtection="false">
      <alignment horizontal="center" vertical="center" textRotation="0" wrapText="true" indent="0" shrinkToFit="false"/>
      <protection locked="true" hidden="false"/>
    </xf>
    <xf numFmtId="164" fontId="31" fillId="0" borderId="0" xfId="21" applyFont="true" applyBorder="true" applyAlignment="true" applyProtection="false">
      <alignment horizontal="left" vertical="center" textRotation="0" wrapText="true" indent="0" shrinkToFit="false"/>
      <protection locked="true" hidden="false"/>
    </xf>
    <xf numFmtId="169" fontId="11" fillId="0" borderId="0" xfId="0" applyFont="true" applyBorder="false" applyAlignment="true" applyProtection="false">
      <alignment horizontal="general" vertical="center" textRotation="0" wrapText="false" indent="0" shrinkToFit="false"/>
      <protection locked="true" hidden="false"/>
    </xf>
    <xf numFmtId="169" fontId="31" fillId="2" borderId="2" xfId="21" applyFont="true" applyBorder="true" applyAlignment="true" applyProtection="false">
      <alignment horizontal="center" vertical="center" textRotation="0" wrapText="true" indent="0" shrinkToFit="false"/>
      <protection locked="true" hidden="false"/>
    </xf>
    <xf numFmtId="169" fontId="31" fillId="0" borderId="3" xfId="21" applyFont="true" applyBorder="true" applyAlignment="true" applyProtection="false">
      <alignment horizontal="center" vertical="center" textRotation="0" wrapText="true" indent="0" shrinkToFit="false"/>
      <protection locked="true" hidden="false"/>
    </xf>
    <xf numFmtId="164" fontId="34" fillId="0" borderId="5" xfId="21" applyFont="true" applyBorder="true" applyAlignment="true" applyProtection="false">
      <alignment horizontal="left" vertical="center" textRotation="0" wrapText="true" indent="0" shrinkToFit="false"/>
      <protection locked="true" hidden="false"/>
    </xf>
    <xf numFmtId="169" fontId="11" fillId="0" borderId="5" xfId="21"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74" fontId="11" fillId="0" borderId="5" xfId="0" applyFont="true" applyBorder="true" applyAlignment="true" applyProtection="false">
      <alignment horizontal="center" vertical="center"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72" fontId="11" fillId="0" borderId="5" xfId="0" applyFont="true" applyBorder="true" applyAlignment="true" applyProtection="false">
      <alignment horizontal="center" vertical="center" textRotation="0" wrapText="false" indent="0" shrinkToFit="false"/>
      <protection locked="true" hidden="false"/>
    </xf>
    <xf numFmtId="164" fontId="11" fillId="2" borderId="6" xfId="0" applyFont="true" applyBorder="true" applyAlignment="false" applyProtection="false">
      <alignment horizontal="general" vertical="bottom" textRotation="0" wrapText="false" indent="0" shrinkToFit="false"/>
      <protection locked="true" hidden="false"/>
    </xf>
    <xf numFmtId="164" fontId="37" fillId="0" borderId="5" xfId="21" applyFont="true" applyBorder="true" applyAlignment="true" applyProtection="false">
      <alignment horizontal="general" vertical="center" textRotation="0" wrapText="true" indent="0" shrinkToFit="false"/>
      <protection locked="true" hidden="false"/>
    </xf>
    <xf numFmtId="164" fontId="35" fillId="0" borderId="5" xfId="21" applyFont="true" applyBorder="true" applyAlignment="true" applyProtection="false">
      <alignment horizontal="general" vertical="center" textRotation="0" wrapText="true" indent="0" shrinkToFit="false"/>
      <protection locked="true" hidden="false"/>
    </xf>
    <xf numFmtId="169" fontId="11" fillId="2" borderId="0" xfId="0" applyFont="true" applyBorder="false" applyAlignment="false" applyProtection="false">
      <alignment horizontal="general" vertical="bottom" textRotation="0" wrapText="false" indent="0" shrinkToFit="false"/>
      <protection locked="true" hidden="false"/>
    </xf>
    <xf numFmtId="169" fontId="11" fillId="2" borderId="0" xfId="0" applyFont="true" applyBorder="true" applyAlignment="true" applyProtection="false">
      <alignment horizontal="center" vertical="center" textRotation="0" wrapText="false" indent="0" shrinkToFit="false"/>
      <protection locked="true" hidden="false"/>
    </xf>
    <xf numFmtId="169" fontId="31" fillId="0" borderId="2" xfId="21" applyFont="true" applyBorder="true" applyAlignment="true" applyProtection="false">
      <alignment horizontal="center" vertical="center" textRotation="0" wrapText="true" indent="0" shrinkToFit="false"/>
      <protection locked="true" hidden="false"/>
    </xf>
    <xf numFmtId="169" fontId="11" fillId="0" borderId="5" xfId="0" applyFont="true" applyBorder="true" applyAlignment="true" applyProtection="false">
      <alignment horizontal="center" vertical="center" textRotation="0" wrapText="false" indent="0" shrinkToFit="false"/>
      <protection locked="true" hidden="false"/>
    </xf>
    <xf numFmtId="164" fontId="11" fillId="2" borderId="12" xfId="0" applyFont="true" applyBorder="true" applyAlignment="false" applyProtection="false">
      <alignment horizontal="general" vertical="bottom" textRotation="0" wrapText="false" indent="0" shrinkToFit="false"/>
      <protection locked="true" hidden="false"/>
    </xf>
    <xf numFmtId="164" fontId="11" fillId="0" borderId="12" xfId="0" applyFont="true" applyBorder="true" applyAlignment="false" applyProtection="false">
      <alignment horizontal="general" vertical="bottom" textRotation="0" wrapText="false" indent="0" shrinkToFit="false"/>
      <protection locked="true" hidden="false"/>
    </xf>
    <xf numFmtId="169" fontId="34" fillId="0" borderId="8" xfId="21" applyFont="true" applyBorder="true" applyAlignment="true" applyProtection="false">
      <alignment horizontal="general" vertical="center" textRotation="0" wrapText="true" indent="0" shrinkToFit="false"/>
      <protection locked="true" hidden="false"/>
    </xf>
    <xf numFmtId="164" fontId="46" fillId="0" borderId="13" xfId="0" applyFont="true" applyBorder="true" applyAlignment="true" applyProtection="false">
      <alignment horizontal="center" vertical="center" textRotation="0" wrapText="true" indent="0" shrinkToFit="false"/>
      <protection locked="true" hidden="false"/>
    </xf>
    <xf numFmtId="164" fontId="48" fillId="0" borderId="13" xfId="0" applyFont="true" applyBorder="true" applyAlignment="true" applyProtection="false">
      <alignment horizontal="center" vertical="center" textRotation="0" wrapText="true" indent="0" shrinkToFit="false"/>
      <protection locked="true" hidden="false"/>
    </xf>
    <xf numFmtId="164" fontId="49" fillId="0" borderId="13" xfId="0" applyFont="true" applyBorder="true" applyAlignment="true" applyProtection="false">
      <alignment horizontal="center" vertical="center" textRotation="0" wrapText="false" indent="0" shrinkToFit="false"/>
      <protection locked="true" hidden="false"/>
    </xf>
    <xf numFmtId="164" fontId="50" fillId="0" borderId="13" xfId="0" applyFont="true" applyBorder="true" applyAlignment="true" applyProtection="false">
      <alignment horizontal="left" vertical="center" textRotation="0" wrapText="true" indent="0" shrinkToFit="false"/>
      <protection locked="true" hidden="false"/>
    </xf>
    <xf numFmtId="164" fontId="28" fillId="0" borderId="13" xfId="0" applyFont="true" applyBorder="true" applyAlignment="true" applyProtection="false">
      <alignment horizontal="center" vertical="center" textRotation="0" wrapText="true" indent="0" shrinkToFit="false"/>
      <protection locked="true" hidden="false"/>
    </xf>
    <xf numFmtId="164" fontId="29" fillId="0" borderId="13" xfId="0" applyFont="true" applyBorder="true" applyAlignment="true" applyProtection="false">
      <alignment horizontal="center" vertical="center" textRotation="0" wrapText="true" indent="0" shrinkToFit="false"/>
      <protection locked="true" hidden="false"/>
    </xf>
    <xf numFmtId="164" fontId="49" fillId="0" borderId="13" xfId="0" applyFont="true" applyBorder="true" applyAlignment="true" applyProtection="false">
      <alignment horizontal="center" vertical="center" textRotation="0" wrapText="true" indent="0" shrinkToFit="false"/>
      <protection locked="true" hidden="false"/>
    </xf>
    <xf numFmtId="164" fontId="52" fillId="0" borderId="13" xfId="0" applyFont="true" applyBorder="true" applyAlignment="true" applyProtection="false">
      <alignment horizontal="left" vertical="center" textRotation="0" wrapText="true" indent="0" shrinkToFit="false"/>
      <protection locked="true" hidden="false"/>
    </xf>
    <xf numFmtId="164" fontId="50" fillId="0" borderId="13" xfId="0" applyFont="true" applyBorder="true" applyAlignment="true" applyProtection="false">
      <alignment horizontal="center" vertical="center" textRotation="0" wrapText="true" indent="0" shrinkToFit="false"/>
      <protection locked="true" hidden="false"/>
    </xf>
    <xf numFmtId="164" fontId="49" fillId="0" borderId="13" xfId="0" applyFont="true" applyBorder="true" applyAlignment="true" applyProtection="false">
      <alignment horizontal="left" vertical="bottom" textRotation="0" wrapText="false" indent="0" shrinkToFit="false"/>
      <protection locked="true" hidden="false"/>
    </xf>
    <xf numFmtId="164" fontId="49" fillId="0" borderId="13" xfId="0" applyFont="true" applyBorder="true" applyAlignment="true" applyProtection="false">
      <alignment horizontal="left" vertical="center" textRotation="0" wrapText="false" indent="0" shrinkToFit="false"/>
      <protection locked="true" hidden="false"/>
    </xf>
    <xf numFmtId="164" fontId="49" fillId="0" borderId="13" xfId="0" applyFont="true" applyBorder="true" applyAlignment="true" applyProtection="false">
      <alignment horizontal="general" vertical="center" textRotation="0" wrapText="false" indent="0" shrinkToFit="false"/>
      <protection locked="true" hidden="false"/>
    </xf>
    <xf numFmtId="164" fontId="52" fillId="0" borderId="13" xfId="0" applyFont="true" applyBorder="true" applyAlignment="true" applyProtection="false">
      <alignment horizontal="center" vertical="center" textRotation="0" wrapText="true" indent="0" shrinkToFit="false"/>
      <protection locked="true" hidden="false"/>
    </xf>
    <xf numFmtId="164" fontId="49" fillId="0" borderId="13" xfId="0" applyFont="true" applyBorder="true" applyAlignment="true" applyProtection="false">
      <alignment horizontal="left" vertical="bottom" textRotation="0" wrapText="true" indent="0" shrinkToFit="false"/>
      <protection locked="true" hidden="false"/>
    </xf>
    <xf numFmtId="164" fontId="53" fillId="0" borderId="0" xfId="0" applyFont="true" applyBorder="true" applyAlignment="true" applyProtection="false">
      <alignment horizontal="left" vertical="center" textRotation="0" wrapText="tru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_x0007_" xfId="20"/>
    <cellStyle name="Normal" xfId="21"/>
    <cellStyle name="Normal 2" xfId="22"/>
    <cellStyle name="Style 1" xfId="23"/>
    <cellStyle name="一般_工程報價單 (2)" xfId="24"/>
    <cellStyle name="常规 10 10" xfId="25"/>
    <cellStyle name="常规 105" xfId="26"/>
    <cellStyle name="常规 2" xfId="27"/>
    <cellStyle name="常规 2 2" xfId="28"/>
    <cellStyle name="常规 2 3" xfId="29"/>
    <cellStyle name="常规 2 6" xfId="30"/>
    <cellStyle name="常规 24 2" xfId="31"/>
    <cellStyle name="常规 3" xfId="32"/>
    <cellStyle name="常规 3 2" xfId="33"/>
    <cellStyle name="常规 4" xfId="34"/>
    <cellStyle name="常规 5" xfId="35"/>
    <cellStyle name="常规 6" xfId="36"/>
    <cellStyle name="常规 7" xfId="37"/>
  </cellStyles>
  <dxfs count="3">
    <dxf>
      <font>
        <strike val="0"/>
        <color rgb="FF006100"/>
        <sz val="11"/>
      </font>
      <fill>
        <patternFill>
          <bgColor rgb="FFC6EFCE"/>
        </patternFill>
      </fill>
    </dxf>
    <dxf>
      <font>
        <strike val="0"/>
        <color rgb="FF9C6500"/>
        <sz val="11"/>
      </font>
      <fill>
        <patternFill>
          <bgColor rgb="FFFFEB9C"/>
        </patternFill>
      </fill>
    </dxf>
    <dxf>
      <font>
        <strike val="0"/>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externalLink" Target="externalLinks/externalLink1.xml"/><Relationship Id="rId10" Type="http://schemas.openxmlformats.org/officeDocument/2006/relationships/externalLink" Target="externalLinks/externalLink2.xml"/><Relationship Id="rId11" Type="http://schemas.openxmlformats.org/officeDocument/2006/relationships/externalLink" Target="externalLinks/externalLink3.xml"/><Relationship Id="rId12"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N:/zpp/SZMQ%2004%20GMM%20Aug.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N:/sinocpchome/vault_4/&#26366;&#29747;/hyperion0401.xls"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N:/2002/3Br%20Qtr%20Meet%20Template%200102.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 GMM -"/>
      <sheetName val="DB_GMM_PL"/>
      <sheetName val="DB_GMM_BS"/>
      <sheetName val="CF DWF"/>
      <sheetName val="BS DWF"/>
      <sheetName val="- QSBM -"/>
      <sheetName val="IMD"/>
      <sheetName val="FMD"/>
      <sheetName val="RB_KPI"/>
      <sheetName val="P&amp;L (Qtr)"/>
      <sheetName val="P&amp;L"/>
      <sheetName val="BS"/>
      <sheetName val="Bcap"/>
      <sheetName val="Back Office Cost"/>
      <sheetName val="SOP 1"/>
      <sheetName val="SOP 2 &amp; SOP 3 "/>
      <sheetName val="RB_KRA"/>
      <sheetName val="KRAs"/>
      <sheetName val="RB_BIP"/>
      <sheetName val="&lt;M1&gt;"/>
      <sheetName val="RB_IMD"/>
      <sheetName val="RB_FMD"/>
      <sheetName val="RB_PL1"/>
      <sheetName val="RB_PL2"/>
      <sheetName val="RB_BS"/>
      <sheetName val="RB_Bcap"/>
      <sheetName val="RB_FUR"/>
      <sheetName val="RB_Capex"/>
      <sheetName val="RB_CFlow"/>
      <sheetName val="5-Yr Trend"/>
      <sheetName val="Koh"/>
      <sheetName val="Debtors"/>
      <sheetName val="RD"/>
      <sheetName val="Capable"/>
      <sheetName val="Production"/>
      <sheetName val="ISO9000"/>
      <sheetName val="&lt;M2&gt;"/>
      <sheetName val="DB_p&amp;l"/>
      <sheetName val="DB_BS"/>
      <sheetName val="DB_CF"/>
      <sheetName val="DB_Aging"/>
      <sheetName val="DB_BCAP"/>
      <sheetName val="DB_Fur"/>
      <sheetName val="Bank Fa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amp;L-Act-Bgt -FY0304"/>
      <sheetName val="Sheet1"/>
      <sheetName val="Sheet2"/>
      <sheetName val="Sheet3"/>
      <sheetName val="1999"/>
      <sheetName val="P&amp;L-Bgt-FY0304"/>
      <sheetName val="P&amp;L-FY0203"/>
      <sheetName val="SOP1"/>
      <sheetName val="Sheet5"/>
      <sheetName val="Sheet6"/>
      <sheetName val="Sheet7"/>
      <sheetName val="Sheet8"/>
      <sheetName val="Sheet9"/>
      <sheetName val="Sheet10"/>
      <sheetName val="Sheet11"/>
      <sheetName val="Sheet12"/>
      <sheetName val="Sheet13"/>
      <sheetName val="Sheet14"/>
      <sheetName val="Sheet15"/>
      <sheetName val="Sheet16"/>
      <sheetName val="P_L_Act_Bgt _FY03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F!"/>
      <sheetName val="Cover"/>
      <sheetName val="Content"/>
      <sheetName val="A"/>
      <sheetName val="P&amp;L1"/>
      <sheetName val="P&amp;L2"/>
      <sheetName val="Exp1"/>
      <sheetName val="Exp2"/>
      <sheetName val="GMM "/>
      <sheetName val="应收帐龄(UP) "/>
      <sheetName val="应收帐龄(SZAP) "/>
      <sheetName val="Bud WK"/>
      <sheetName val="BS(H)"/>
      <sheetName val="CF(H)"/>
      <sheetName val="CER"/>
      <sheetName val="B"/>
      <sheetName val="Action"/>
      <sheetName val="C"/>
      <sheetName val="D"/>
      <sheetName val="财务行政K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6"/>
  <sheetViews>
    <sheetView showFormulas="false" showGridLines="false" showRowColHeaders="true" showZeros="true" rightToLeft="false" tabSelected="true" showOutlineSymbols="true" defaultGridColor="true" view="pageBreakPreview" topLeftCell="A1" colorId="64" zoomScale="115" zoomScaleNormal="100" zoomScalePageLayoutView="115" workbookViewId="0">
      <pane xSplit="0" ySplit="3" topLeftCell="A4" activePane="bottomLeft" state="frozen"/>
      <selection pane="topLeft" activeCell="A1" activeCellId="0" sqref="A1"/>
      <selection pane="bottomLeft" activeCell="C8" activeCellId="0" sqref="C8"/>
    </sheetView>
  </sheetViews>
  <sheetFormatPr defaultColWidth="9.00390625" defaultRowHeight="12" zeroHeight="false" outlineLevelRow="0" outlineLevelCol="0"/>
  <cols>
    <col collapsed="false" customWidth="true" hidden="false" outlineLevel="0" max="1" min="1" style="0" width="8.91"/>
    <col collapsed="false" customWidth="true" hidden="false" outlineLevel="0" max="2" min="2" style="0" width="49.81"/>
    <col collapsed="false" customWidth="true" hidden="false" outlineLevel="0" max="3" min="3" style="1" width="37.09"/>
    <col collapsed="false" customWidth="true" hidden="false" outlineLevel="0" max="4" min="4" style="0" width="20.63"/>
    <col collapsed="false" customWidth="true" hidden="false" outlineLevel="0" max="6" min="6" style="2" width="19.45"/>
    <col collapsed="false" customWidth="true" hidden="false" outlineLevel="0" max="7" min="7" style="2" width="22.17"/>
    <col collapsed="false" customWidth="true" hidden="false" outlineLevel="0" max="8" min="8" style="2" width="17.63"/>
    <col collapsed="false" customWidth="true" hidden="false" outlineLevel="0" max="9" min="9" style="3" width="21.18"/>
    <col collapsed="false" customWidth="true" hidden="false" outlineLevel="0" max="10" min="10" style="0" width="17.37"/>
    <col collapsed="false" customWidth="true" hidden="false" outlineLevel="0" max="11" min="11" style="0" width="14.17"/>
    <col collapsed="false" customWidth="true" hidden="false" outlineLevel="0" max="13" min="12" style="0" width="16"/>
  </cols>
  <sheetData>
    <row r="1" customFormat="false" ht="84" hidden="false" customHeight="true" outlineLevel="0" collapsed="false">
      <c r="A1" s="4" t="s">
        <v>0</v>
      </c>
      <c r="B1" s="4"/>
      <c r="C1" s="4"/>
      <c r="D1" s="4"/>
    </row>
    <row r="2" s="6" customFormat="true" ht="36.75" hidden="false" customHeight="true" outlineLevel="0" collapsed="false">
      <c r="A2" s="5" t="s">
        <v>1</v>
      </c>
      <c r="B2" s="5"/>
      <c r="C2" s="5"/>
      <c r="D2" s="5"/>
      <c r="F2" s="7"/>
      <c r="G2" s="7"/>
      <c r="H2" s="7"/>
      <c r="I2" s="8"/>
    </row>
    <row r="3" s="13" customFormat="true" ht="36" hidden="false" customHeight="true" outlineLevel="0" collapsed="false">
      <c r="A3" s="9" t="s">
        <v>2</v>
      </c>
      <c r="B3" s="10" t="s">
        <v>3</v>
      </c>
      <c r="C3" s="11" t="s">
        <v>4</v>
      </c>
      <c r="D3" s="12" t="s">
        <v>5</v>
      </c>
      <c r="F3" s="14"/>
      <c r="G3" s="14"/>
      <c r="H3" s="14"/>
      <c r="I3" s="15"/>
    </row>
    <row r="4" s="20" customFormat="true" ht="36" hidden="false" customHeight="true" outlineLevel="0" collapsed="false">
      <c r="A4" s="16" t="n">
        <f aca="false">ROW()-3</f>
        <v>1</v>
      </c>
      <c r="B4" s="17" t="s">
        <v>6</v>
      </c>
      <c r="C4" s="18" t="n">
        <f aca="false">BP2制冷机房系统工程!I118</f>
        <v>0</v>
      </c>
      <c r="D4" s="19"/>
      <c r="F4" s="14"/>
      <c r="G4" s="14"/>
      <c r="H4" s="14"/>
      <c r="I4" s="14"/>
    </row>
    <row r="5" s="21" customFormat="true" ht="48.75" hidden="false" customHeight="true" outlineLevel="0" collapsed="false">
      <c r="A5" s="16" t="n">
        <f aca="false">ROW()-3</f>
        <v>2</v>
      </c>
      <c r="B5" s="17" t="s">
        <v>7</v>
      </c>
      <c r="C5" s="18" t="n">
        <f aca="false">BP2制冷机房智能自控系统工程!I31</f>
        <v>0</v>
      </c>
      <c r="D5" s="19"/>
      <c r="F5" s="14"/>
      <c r="G5" s="14"/>
      <c r="H5" s="14"/>
      <c r="I5" s="14"/>
      <c r="J5" s="20"/>
      <c r="K5" s="22"/>
    </row>
    <row r="6" s="20" customFormat="true" ht="36" hidden="false" customHeight="true" outlineLevel="0" collapsed="false">
      <c r="A6" s="16" t="n">
        <f aca="false">ROW()-3</f>
        <v>3</v>
      </c>
      <c r="B6" s="17" t="s">
        <v>8</v>
      </c>
      <c r="C6" s="18" t="n">
        <f aca="false">BP2空调末端系统工程!I167</f>
        <v>0</v>
      </c>
      <c r="D6" s="19"/>
      <c r="F6" s="14"/>
      <c r="G6" s="14"/>
      <c r="H6" s="14"/>
      <c r="I6" s="14"/>
    </row>
    <row r="7" s="20" customFormat="true" ht="36" hidden="false" customHeight="true" outlineLevel="0" collapsed="false">
      <c r="A7" s="16" t="n">
        <f aca="false">ROW()-3</f>
        <v>4</v>
      </c>
      <c r="B7" s="17" t="s">
        <v>9</v>
      </c>
      <c r="C7" s="18" t="n">
        <f aca="false">MS1一楼末端系统!I142</f>
        <v>0</v>
      </c>
      <c r="D7" s="19"/>
      <c r="F7" s="14"/>
      <c r="G7" s="14"/>
      <c r="H7" s="14"/>
      <c r="I7" s="14"/>
    </row>
    <row r="8" s="20" customFormat="true" ht="36" hidden="false" customHeight="true" outlineLevel="0" collapsed="false">
      <c r="A8" s="16" t="n">
        <f aca="false">ROW()-3</f>
        <v>5</v>
      </c>
      <c r="B8" s="23" t="s">
        <v>10</v>
      </c>
      <c r="C8" s="18"/>
      <c r="D8" s="19"/>
      <c r="F8" s="14"/>
      <c r="G8" s="14"/>
      <c r="H8" s="14"/>
      <c r="I8" s="14"/>
    </row>
    <row r="9" s="20" customFormat="true" ht="48.75" hidden="false" customHeight="true" outlineLevel="0" collapsed="false">
      <c r="A9" s="16" t="n">
        <f aca="false">ROW()-3</f>
        <v>6</v>
      </c>
      <c r="B9" s="23" t="s">
        <v>11</v>
      </c>
      <c r="C9" s="18" t="n">
        <f aca="false">SUM(C4:C8)</f>
        <v>0</v>
      </c>
      <c r="D9" s="19"/>
      <c r="F9" s="14"/>
      <c r="G9" s="14"/>
      <c r="H9" s="14"/>
      <c r="I9" s="14"/>
    </row>
    <row r="10" s="20" customFormat="true" ht="36" hidden="false" customHeight="true" outlineLevel="0" collapsed="false">
      <c r="A10" s="16" t="n">
        <f aca="false">ROW()-3</f>
        <v>7</v>
      </c>
      <c r="B10" s="23" t="s">
        <v>12</v>
      </c>
      <c r="C10" s="18" t="n">
        <f aca="false">C9*0.1</f>
        <v>0</v>
      </c>
      <c r="D10" s="19"/>
      <c r="F10" s="14"/>
      <c r="G10" s="14"/>
      <c r="H10" s="14"/>
      <c r="I10" s="14"/>
    </row>
    <row r="11" s="28" customFormat="true" ht="36" hidden="false" customHeight="true" outlineLevel="0" collapsed="false">
      <c r="A11" s="24" t="n">
        <f aca="false">ROW()-3</f>
        <v>8</v>
      </c>
      <c r="B11" s="25" t="s">
        <v>13</v>
      </c>
      <c r="C11" s="26" t="n">
        <f aca="false">C9+C10</f>
        <v>0</v>
      </c>
      <c r="D11" s="27"/>
      <c r="F11" s="29"/>
      <c r="G11" s="29"/>
      <c r="H11" s="29"/>
      <c r="I11" s="30"/>
    </row>
    <row r="12" s="13" customFormat="true" ht="120" hidden="false" customHeight="true" outlineLevel="0" collapsed="false">
      <c r="A12" s="31" t="s">
        <v>14</v>
      </c>
      <c r="B12" s="31"/>
      <c r="C12" s="31"/>
      <c r="D12" s="31"/>
      <c r="F12" s="14"/>
      <c r="G12" s="14"/>
      <c r="H12" s="14"/>
      <c r="I12" s="15"/>
    </row>
    <row r="13" customFormat="false" ht="19.5" hidden="false" customHeight="true" outlineLevel="0" collapsed="false">
      <c r="C13" s="32"/>
      <c r="D13" s="32"/>
      <c r="E13" s="13"/>
    </row>
    <row r="14" customFormat="false" ht="3.75" hidden="false" customHeight="true" outlineLevel="0" collapsed="false">
      <c r="C14" s="33"/>
      <c r="D14" s="33"/>
      <c r="E14" s="13"/>
    </row>
    <row r="15" customFormat="false" ht="19.5" hidden="false" customHeight="true" outlineLevel="0" collapsed="false">
      <c r="C15" s="34"/>
      <c r="D15" s="34"/>
      <c r="E15" s="35"/>
    </row>
    <row r="16" customFormat="false" ht="19.5" hidden="false" customHeight="true" outlineLevel="0" collapsed="false">
      <c r="F16" s="36"/>
      <c r="G16" s="37"/>
    </row>
    <row r="17" customFormat="false" ht="19.5" hidden="false" customHeight="true" outlineLevel="0" collapsed="false">
      <c r="F17" s="36"/>
      <c r="G17" s="7"/>
    </row>
    <row r="18" customFormat="false" ht="19.5" hidden="false" customHeight="true" outlineLevel="0" collapsed="false">
      <c r="F18" s="36"/>
      <c r="G18" s="7"/>
    </row>
    <row r="19" customFormat="false" ht="19.5" hidden="false" customHeight="true" outlineLevel="0" collapsed="false">
      <c r="F19" s="36"/>
      <c r="G19" s="7"/>
    </row>
    <row r="20" customFormat="false" ht="19.5" hidden="false" customHeight="true" outlineLevel="0" collapsed="false">
      <c r="F20" s="36"/>
      <c r="G20" s="7"/>
    </row>
    <row r="21" customFormat="false" ht="19.5" hidden="false" customHeight="true" outlineLevel="0" collapsed="false">
      <c r="F21" s="36"/>
      <c r="G21" s="7"/>
    </row>
    <row r="22" customFormat="false" ht="19.5" hidden="false" customHeight="true" outlineLevel="0" collapsed="false">
      <c r="F22" s="36"/>
      <c r="G22" s="7"/>
    </row>
    <row r="23" customFormat="false" ht="19.5" hidden="false" customHeight="true" outlineLevel="0" collapsed="false">
      <c r="F23" s="36"/>
      <c r="G23" s="7"/>
    </row>
    <row r="24" customFormat="false" ht="19.5" hidden="false" customHeight="true" outlineLevel="0" collapsed="false">
      <c r="F24" s="36"/>
      <c r="G24" s="7"/>
    </row>
    <row r="25" customFormat="false" ht="19.5" hidden="false" customHeight="true" outlineLevel="0" collapsed="false">
      <c r="F25" s="36"/>
      <c r="G25" s="7"/>
    </row>
    <row r="26" customFormat="false" ht="19.5" hidden="false" customHeight="true" outlineLevel="0" collapsed="false">
      <c r="F26" s="36"/>
      <c r="G26" s="38"/>
    </row>
  </sheetData>
  <mergeCells count="5">
    <mergeCell ref="A1:D1"/>
    <mergeCell ref="A2:D2"/>
    <mergeCell ref="A12:D12"/>
    <mergeCell ref="C13:D13"/>
    <mergeCell ref="C15:D15"/>
  </mergeCells>
  <printOptions headings="false" gridLines="false" gridLinesSet="true" horizontalCentered="true" verticalCentered="false"/>
  <pageMargins left="0.113888888888889" right="0.113888888888889" top="0.59375" bottom="0"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18"/>
  <sheetViews>
    <sheetView showFormulas="false" showGridLines="true" showRowColHeaders="true" showZeros="true" rightToLeft="false" tabSelected="false" showOutlineSymbols="true" defaultGridColor="true" view="pageBreakPreview" topLeftCell="A1" colorId="64" zoomScale="115" zoomScaleNormal="100" zoomScalePageLayoutView="115" workbookViewId="0">
      <pane xSplit="0" ySplit="4" topLeftCell="A103" activePane="bottomLeft" state="frozen"/>
      <selection pane="topLeft" activeCell="A1" activeCellId="0" sqref="A1"/>
      <selection pane="bottomLeft" activeCell="G18" activeCellId="0" sqref="G18"/>
    </sheetView>
  </sheetViews>
  <sheetFormatPr defaultColWidth="9.00390625" defaultRowHeight="12" zeroHeight="false" outlineLevelRow="1" outlineLevelCol="0"/>
  <cols>
    <col collapsed="false" customWidth="true" hidden="false" outlineLevel="0" max="1" min="1" style="39" width="6.37"/>
    <col collapsed="false" customWidth="true" hidden="false" outlineLevel="0" max="2" min="2" style="40" width="24"/>
    <col collapsed="false" customWidth="true" hidden="false" outlineLevel="0" max="3" min="3" style="39" width="52"/>
    <col collapsed="false" customWidth="true" hidden="false" outlineLevel="0" max="4" min="4" style="41" width="8"/>
    <col collapsed="false" customWidth="true" hidden="false" outlineLevel="0" max="5" min="5" style="42" width="8.63"/>
    <col collapsed="false" customWidth="true" hidden="false" outlineLevel="0" max="6" min="6" style="42" width="12.63"/>
    <col collapsed="false" customWidth="true" hidden="false" outlineLevel="0" max="7" min="7" style="43" width="14.55"/>
    <col collapsed="false" customWidth="true" hidden="false" outlineLevel="0" max="8" min="8" style="44" width="14.55"/>
    <col collapsed="false" customWidth="true" hidden="false" outlineLevel="0" max="9" min="9" style="44" width="16.81"/>
    <col collapsed="false" customWidth="true" hidden="false" outlineLevel="0" max="10" min="10" style="41" width="20"/>
    <col collapsed="false" customWidth="true" hidden="false" outlineLevel="0" max="11" min="11" style="45" width="10.81"/>
    <col collapsed="false" customWidth="true" hidden="false" outlineLevel="0" max="12" min="12" style="45" width="14.45"/>
    <col collapsed="false" customWidth="true" hidden="false" outlineLevel="0" max="14" min="13" style="46" width="13"/>
    <col collapsed="false" customWidth="false" hidden="false" outlineLevel="0" max="15" min="15" style="46" width="9"/>
    <col collapsed="false" customWidth="false" hidden="false" outlineLevel="0" max="16384" min="16" style="39" width="9"/>
  </cols>
  <sheetData>
    <row r="1" customFormat="false" ht="57.75" hidden="false" customHeight="true" outlineLevel="0" collapsed="false">
      <c r="A1" s="47" t="s">
        <v>15</v>
      </c>
      <c r="B1" s="47"/>
      <c r="C1" s="47"/>
      <c r="D1" s="47"/>
      <c r="E1" s="47"/>
      <c r="F1" s="47"/>
      <c r="G1" s="47"/>
      <c r="H1" s="47"/>
      <c r="I1" s="47"/>
      <c r="J1" s="47"/>
    </row>
    <row r="2" s="51" customFormat="true" ht="29.25" hidden="false" customHeight="true" outlineLevel="0" collapsed="false">
      <c r="A2" s="48" t="s">
        <v>16</v>
      </c>
      <c r="B2" s="48"/>
      <c r="C2" s="48"/>
      <c r="D2" s="48"/>
      <c r="E2" s="48"/>
      <c r="F2" s="48"/>
      <c r="G2" s="48"/>
      <c r="H2" s="48"/>
      <c r="I2" s="48"/>
      <c r="J2" s="48"/>
      <c r="K2" s="49"/>
      <c r="L2" s="49"/>
      <c r="M2" s="50"/>
      <c r="N2" s="50"/>
      <c r="O2" s="50"/>
    </row>
    <row r="3" s="51" customFormat="true" ht="29.25" hidden="false" customHeight="true" outlineLevel="0" collapsed="false">
      <c r="A3" s="52" t="s">
        <v>17</v>
      </c>
      <c r="B3" s="53" t="s">
        <v>18</v>
      </c>
      <c r="C3" s="53" t="s">
        <v>19</v>
      </c>
      <c r="D3" s="53" t="s">
        <v>20</v>
      </c>
      <c r="E3" s="54" t="s">
        <v>21</v>
      </c>
      <c r="F3" s="54" t="s">
        <v>22</v>
      </c>
      <c r="G3" s="54"/>
      <c r="H3" s="55" t="s">
        <v>23</v>
      </c>
      <c r="I3" s="56" t="s">
        <v>24</v>
      </c>
      <c r="J3" s="57" t="s">
        <v>25</v>
      </c>
      <c r="K3" s="45"/>
      <c r="L3" s="45"/>
      <c r="M3" s="50"/>
      <c r="N3" s="50"/>
      <c r="O3" s="50"/>
    </row>
    <row r="4" customFormat="false" ht="40.5" hidden="false" customHeight="true" outlineLevel="0" collapsed="false">
      <c r="A4" s="52"/>
      <c r="B4" s="53"/>
      <c r="C4" s="53"/>
      <c r="D4" s="53"/>
      <c r="E4" s="53"/>
      <c r="F4" s="58" t="s">
        <v>26</v>
      </c>
      <c r="G4" s="59" t="s">
        <v>27</v>
      </c>
      <c r="H4" s="55"/>
      <c r="I4" s="55"/>
      <c r="J4" s="57"/>
    </row>
    <row r="5" customFormat="false" ht="40.5" hidden="false" customHeight="true" outlineLevel="0" collapsed="false">
      <c r="A5" s="60" t="s">
        <v>28</v>
      </c>
      <c r="B5" s="61" t="s">
        <v>29</v>
      </c>
      <c r="C5" s="62"/>
      <c r="D5" s="61"/>
      <c r="E5" s="58"/>
      <c r="F5" s="58"/>
      <c r="G5" s="59"/>
      <c r="H5" s="63"/>
      <c r="I5" s="63"/>
      <c r="J5" s="64"/>
    </row>
    <row r="6" s="51" customFormat="true" ht="426.75" hidden="false" customHeight="true" outlineLevel="1" collapsed="false">
      <c r="A6" s="65" t="n">
        <v>1</v>
      </c>
      <c r="B6" s="66" t="s">
        <v>30</v>
      </c>
      <c r="C6" s="67" t="s">
        <v>31</v>
      </c>
      <c r="D6" s="66" t="s">
        <v>32</v>
      </c>
      <c r="E6" s="68" t="n">
        <v>1</v>
      </c>
      <c r="F6" s="68"/>
      <c r="G6" s="69"/>
      <c r="H6" s="69" t="n">
        <f aca="false">F6+G6</f>
        <v>0</v>
      </c>
      <c r="I6" s="69" t="n">
        <f aca="false">E6*H6</f>
        <v>0</v>
      </c>
      <c r="J6" s="70" t="s">
        <v>33</v>
      </c>
      <c r="K6" s="45"/>
      <c r="L6" s="45"/>
      <c r="M6" s="50"/>
      <c r="N6" s="50"/>
      <c r="O6" s="50"/>
    </row>
    <row r="7" s="51" customFormat="true" ht="426.75" hidden="false" customHeight="true" outlineLevel="1" collapsed="false">
      <c r="A7" s="65" t="n">
        <v>2</v>
      </c>
      <c r="B7" s="66" t="s">
        <v>34</v>
      </c>
      <c r="C7" s="67" t="s">
        <v>35</v>
      </c>
      <c r="D7" s="66" t="s">
        <v>32</v>
      </c>
      <c r="E7" s="68" t="n">
        <v>2</v>
      </c>
      <c r="F7" s="68"/>
      <c r="G7" s="69"/>
      <c r="H7" s="69" t="n">
        <f aca="false">F7+G7</f>
        <v>0</v>
      </c>
      <c r="I7" s="69" t="n">
        <f aca="false">E7*H7</f>
        <v>0</v>
      </c>
      <c r="J7" s="71" t="s">
        <v>36</v>
      </c>
      <c r="K7" s="45"/>
      <c r="L7" s="45"/>
      <c r="M7" s="50"/>
      <c r="N7" s="50"/>
      <c r="O7" s="50"/>
    </row>
    <row r="8" customFormat="false" ht="228" hidden="false" customHeight="true" outlineLevel="1" collapsed="false">
      <c r="A8" s="65" t="n">
        <v>3</v>
      </c>
      <c r="B8" s="66" t="s">
        <v>37</v>
      </c>
      <c r="C8" s="67" t="s">
        <v>38</v>
      </c>
      <c r="D8" s="66" t="s">
        <v>32</v>
      </c>
      <c r="E8" s="68" t="n">
        <v>4</v>
      </c>
      <c r="F8" s="68"/>
      <c r="G8" s="69"/>
      <c r="H8" s="69" t="n">
        <f aca="false">F8+G8</f>
        <v>0</v>
      </c>
      <c r="I8" s="69" t="n">
        <f aca="false">E8*H8</f>
        <v>0</v>
      </c>
      <c r="J8" s="72" t="s">
        <v>39</v>
      </c>
    </row>
    <row r="9" customFormat="false" ht="228" hidden="false" customHeight="true" outlineLevel="1" collapsed="false">
      <c r="A9" s="65" t="n">
        <v>4</v>
      </c>
      <c r="B9" s="66" t="s">
        <v>40</v>
      </c>
      <c r="C9" s="67" t="s">
        <v>41</v>
      </c>
      <c r="D9" s="66" t="s">
        <v>32</v>
      </c>
      <c r="E9" s="68" t="n">
        <v>4</v>
      </c>
      <c r="F9" s="68"/>
      <c r="G9" s="69"/>
      <c r="H9" s="69" t="n">
        <f aca="false">F9+G9</f>
        <v>0</v>
      </c>
      <c r="I9" s="69" t="n">
        <f aca="false">E9*H9</f>
        <v>0</v>
      </c>
      <c r="J9" s="72" t="s">
        <v>39</v>
      </c>
    </row>
    <row r="10" customFormat="false" ht="192.75" hidden="false" customHeight="true" outlineLevel="1" collapsed="false">
      <c r="A10" s="65" t="n">
        <v>5</v>
      </c>
      <c r="B10" s="73" t="s">
        <v>42</v>
      </c>
      <c r="C10" s="74" t="s">
        <v>43</v>
      </c>
      <c r="D10" s="73" t="s">
        <v>32</v>
      </c>
      <c r="E10" s="75" t="n">
        <v>2</v>
      </c>
      <c r="F10" s="68"/>
      <c r="G10" s="69"/>
      <c r="H10" s="69" t="n">
        <f aca="false">F10+G10</f>
        <v>0</v>
      </c>
      <c r="I10" s="69" t="n">
        <f aca="false">E10*H10</f>
        <v>0</v>
      </c>
      <c r="J10" s="71" t="s">
        <v>44</v>
      </c>
    </row>
    <row r="11" customFormat="false" ht="99.75" hidden="false" customHeight="true" outlineLevel="1" collapsed="false">
      <c r="A11" s="65" t="n">
        <v>6</v>
      </c>
      <c r="B11" s="73" t="s">
        <v>45</v>
      </c>
      <c r="C11" s="74"/>
      <c r="D11" s="73" t="s">
        <v>32</v>
      </c>
      <c r="E11" s="75" t="n">
        <v>1</v>
      </c>
      <c r="F11" s="68"/>
      <c r="G11" s="69"/>
      <c r="H11" s="69" t="n">
        <f aca="false">F11+G11</f>
        <v>0</v>
      </c>
      <c r="I11" s="69" t="n">
        <f aca="false">E11*H11</f>
        <v>0</v>
      </c>
      <c r="J11" s="76" t="s">
        <v>46</v>
      </c>
    </row>
    <row r="12" customFormat="false" ht="274.5" hidden="false" customHeight="true" outlineLevel="1" collapsed="false">
      <c r="A12" s="65" t="n">
        <v>7</v>
      </c>
      <c r="B12" s="66" t="s">
        <v>47</v>
      </c>
      <c r="C12" s="67" t="s">
        <v>48</v>
      </c>
      <c r="D12" s="66" t="s">
        <v>32</v>
      </c>
      <c r="E12" s="68" t="n">
        <v>3</v>
      </c>
      <c r="F12" s="68"/>
      <c r="G12" s="69"/>
      <c r="H12" s="69" t="n">
        <f aca="false">F12+G12</f>
        <v>0</v>
      </c>
      <c r="I12" s="69" t="n">
        <f aca="false">E12*H12</f>
        <v>0</v>
      </c>
      <c r="J12" s="71"/>
    </row>
    <row r="13" customFormat="false" ht="240" hidden="false" customHeight="true" outlineLevel="1" collapsed="false">
      <c r="A13" s="65" t="n">
        <v>8</v>
      </c>
      <c r="B13" s="66" t="s">
        <v>49</v>
      </c>
      <c r="C13" s="67" t="s">
        <v>50</v>
      </c>
      <c r="D13" s="66" t="s">
        <v>32</v>
      </c>
      <c r="E13" s="68" t="n">
        <v>2</v>
      </c>
      <c r="F13" s="68"/>
      <c r="G13" s="69"/>
      <c r="H13" s="69" t="n">
        <f aca="false">F13+G13</f>
        <v>0</v>
      </c>
      <c r="I13" s="69" t="n">
        <f aca="false">E13*H13</f>
        <v>0</v>
      </c>
      <c r="J13" s="71"/>
    </row>
    <row r="14" customFormat="false" ht="111" hidden="false" customHeight="true" outlineLevel="1" collapsed="false">
      <c r="A14" s="65" t="n">
        <v>9</v>
      </c>
      <c r="B14" s="66" t="s">
        <v>51</v>
      </c>
      <c r="C14" s="67" t="s">
        <v>52</v>
      </c>
      <c r="D14" s="66" t="s">
        <v>32</v>
      </c>
      <c r="E14" s="68" t="n">
        <v>1</v>
      </c>
      <c r="F14" s="68"/>
      <c r="G14" s="69"/>
      <c r="H14" s="69" t="n">
        <f aca="false">F14+G14</f>
        <v>0</v>
      </c>
      <c r="I14" s="69" t="n">
        <f aca="false">E14*H14</f>
        <v>0</v>
      </c>
      <c r="J14" s="71" t="s">
        <v>53</v>
      </c>
    </row>
    <row r="15" s="78" customFormat="true" ht="146.25" hidden="false" customHeight="true" outlineLevel="1" collapsed="false">
      <c r="A15" s="65" t="n">
        <v>10</v>
      </c>
      <c r="B15" s="66" t="s">
        <v>54</v>
      </c>
      <c r="C15" s="67" t="s">
        <v>55</v>
      </c>
      <c r="D15" s="66" t="s">
        <v>32</v>
      </c>
      <c r="E15" s="68" t="n">
        <v>3</v>
      </c>
      <c r="F15" s="68"/>
      <c r="G15" s="69"/>
      <c r="H15" s="69" t="n">
        <f aca="false">F15+G15</f>
        <v>0</v>
      </c>
      <c r="I15" s="69" t="n">
        <f aca="false">E15*H15</f>
        <v>0</v>
      </c>
      <c r="J15" s="71" t="s">
        <v>56</v>
      </c>
      <c r="K15" s="45"/>
      <c r="L15" s="45"/>
      <c r="M15" s="77"/>
      <c r="N15" s="77"/>
      <c r="O15" s="77"/>
    </row>
    <row r="16" customFormat="false" ht="29.25" hidden="false" customHeight="true" outlineLevel="0" collapsed="false">
      <c r="A16" s="65"/>
      <c r="B16" s="79" t="s">
        <v>57</v>
      </c>
      <c r="C16" s="67"/>
      <c r="D16" s="66"/>
      <c r="E16" s="80"/>
      <c r="F16" s="80"/>
      <c r="G16" s="81"/>
      <c r="H16" s="82"/>
      <c r="I16" s="82" t="n">
        <f aca="false">SUM(I6:I15)</f>
        <v>0</v>
      </c>
      <c r="J16" s="83"/>
    </row>
    <row r="17" customFormat="false" ht="29.25" hidden="false" customHeight="true" outlineLevel="0" collapsed="false">
      <c r="A17" s="84" t="s">
        <v>58</v>
      </c>
      <c r="B17" s="61" t="s">
        <v>59</v>
      </c>
      <c r="C17" s="62"/>
      <c r="D17" s="61"/>
      <c r="E17" s="58"/>
      <c r="F17" s="58"/>
      <c r="G17" s="59"/>
      <c r="H17" s="63"/>
      <c r="I17" s="63"/>
      <c r="J17" s="64"/>
    </row>
    <row r="18" customFormat="false" ht="216" hidden="false" customHeight="true" outlineLevel="1" collapsed="false">
      <c r="A18" s="65" t="n">
        <v>11</v>
      </c>
      <c r="B18" s="66" t="s">
        <v>60</v>
      </c>
      <c r="C18" s="67" t="s">
        <v>61</v>
      </c>
      <c r="D18" s="66" t="s">
        <v>32</v>
      </c>
      <c r="E18" s="68" t="n">
        <v>1</v>
      </c>
      <c r="F18" s="68"/>
      <c r="G18" s="69"/>
      <c r="H18" s="69" t="n">
        <f aca="false">F18+G18</f>
        <v>0</v>
      </c>
      <c r="I18" s="69" t="n">
        <f aca="false">E18*H18</f>
        <v>0</v>
      </c>
      <c r="J18" s="71"/>
      <c r="K18" s="85"/>
    </row>
    <row r="19" customFormat="false" ht="216" hidden="false" customHeight="true" outlineLevel="1" collapsed="false">
      <c r="A19" s="65" t="n">
        <v>12</v>
      </c>
      <c r="B19" s="66" t="s">
        <v>62</v>
      </c>
      <c r="C19" s="67" t="s">
        <v>63</v>
      </c>
      <c r="D19" s="66" t="s">
        <v>32</v>
      </c>
      <c r="E19" s="68" t="n">
        <v>1</v>
      </c>
      <c r="F19" s="68"/>
      <c r="G19" s="69"/>
      <c r="H19" s="69" t="n">
        <f aca="false">F19+G19</f>
        <v>0</v>
      </c>
      <c r="I19" s="69" t="n">
        <f aca="false">E19*H19</f>
        <v>0</v>
      </c>
      <c r="J19" s="71"/>
      <c r="K19" s="85"/>
    </row>
    <row r="20" customFormat="false" ht="216" hidden="false" customHeight="true" outlineLevel="1" collapsed="false">
      <c r="A20" s="65" t="n">
        <v>13</v>
      </c>
      <c r="B20" s="66" t="s">
        <v>64</v>
      </c>
      <c r="C20" s="67" t="s">
        <v>65</v>
      </c>
      <c r="D20" s="86" t="s">
        <v>66</v>
      </c>
      <c r="E20" s="87" t="n">
        <v>36</v>
      </c>
      <c r="F20" s="87"/>
      <c r="G20" s="69"/>
      <c r="H20" s="69" t="n">
        <f aca="false">F20+G20</f>
        <v>0</v>
      </c>
      <c r="I20" s="69" t="n">
        <f aca="false">E20*H20</f>
        <v>0</v>
      </c>
      <c r="J20" s="71"/>
      <c r="K20" s="85"/>
    </row>
    <row r="21" customFormat="false" ht="216" hidden="false" customHeight="true" outlineLevel="1" collapsed="false">
      <c r="A21" s="65" t="n">
        <v>14</v>
      </c>
      <c r="B21" s="66" t="s">
        <v>64</v>
      </c>
      <c r="C21" s="67" t="s">
        <v>67</v>
      </c>
      <c r="D21" s="86" t="s">
        <v>66</v>
      </c>
      <c r="E21" s="87" t="n">
        <v>6</v>
      </c>
      <c r="F21" s="87"/>
      <c r="G21" s="69"/>
      <c r="H21" s="69" t="n">
        <f aca="false">F21+G21</f>
        <v>0</v>
      </c>
      <c r="I21" s="69" t="n">
        <f aca="false">E21*H21</f>
        <v>0</v>
      </c>
      <c r="J21" s="71"/>
      <c r="K21" s="85"/>
    </row>
    <row r="22" customFormat="false" ht="216" hidden="false" customHeight="true" outlineLevel="1" collapsed="false">
      <c r="A22" s="65" t="n">
        <v>15</v>
      </c>
      <c r="B22" s="66" t="s">
        <v>68</v>
      </c>
      <c r="C22" s="67" t="s">
        <v>69</v>
      </c>
      <c r="D22" s="86" t="s">
        <v>66</v>
      </c>
      <c r="E22" s="87" t="n">
        <v>84</v>
      </c>
      <c r="F22" s="87"/>
      <c r="G22" s="69"/>
      <c r="H22" s="69" t="n">
        <f aca="false">F22+G22</f>
        <v>0</v>
      </c>
      <c r="I22" s="69" t="n">
        <f aca="false">E22*H22</f>
        <v>0</v>
      </c>
      <c r="J22" s="71" t="s">
        <v>70</v>
      </c>
      <c r="K22" s="85"/>
    </row>
    <row r="23" customFormat="false" ht="216" hidden="false" customHeight="true" outlineLevel="1" collapsed="false">
      <c r="A23" s="65" t="n">
        <v>16</v>
      </c>
      <c r="B23" s="66" t="s">
        <v>68</v>
      </c>
      <c r="C23" s="67" t="s">
        <v>71</v>
      </c>
      <c r="D23" s="86" t="s">
        <v>66</v>
      </c>
      <c r="E23" s="87" t="n">
        <v>12</v>
      </c>
      <c r="F23" s="87"/>
      <c r="G23" s="69"/>
      <c r="H23" s="69" t="n">
        <f aca="false">F23+G23</f>
        <v>0</v>
      </c>
      <c r="I23" s="69" t="n">
        <f aca="false">E23*H23</f>
        <v>0</v>
      </c>
      <c r="J23" s="71" t="s">
        <v>70</v>
      </c>
      <c r="K23" s="85"/>
    </row>
    <row r="24" customFormat="false" ht="216" hidden="false" customHeight="true" outlineLevel="1" collapsed="false">
      <c r="A24" s="65" t="n">
        <v>17</v>
      </c>
      <c r="B24" s="66" t="s">
        <v>68</v>
      </c>
      <c r="C24" s="67" t="s">
        <v>72</v>
      </c>
      <c r="D24" s="86" t="s">
        <v>66</v>
      </c>
      <c r="E24" s="87" t="n">
        <v>12</v>
      </c>
      <c r="F24" s="87"/>
      <c r="G24" s="69"/>
      <c r="H24" s="69" t="n">
        <f aca="false">F24+G24</f>
        <v>0</v>
      </c>
      <c r="I24" s="69" t="n">
        <f aca="false">E24*H24</f>
        <v>0</v>
      </c>
      <c r="J24" s="71" t="s">
        <v>70</v>
      </c>
      <c r="K24" s="85"/>
    </row>
    <row r="25" customFormat="false" ht="216" hidden="false" customHeight="true" outlineLevel="1" collapsed="false">
      <c r="A25" s="65" t="n">
        <v>18</v>
      </c>
      <c r="B25" s="66" t="s">
        <v>68</v>
      </c>
      <c r="C25" s="67" t="s">
        <v>73</v>
      </c>
      <c r="D25" s="86" t="s">
        <v>66</v>
      </c>
      <c r="E25" s="87" t="n">
        <v>36</v>
      </c>
      <c r="F25" s="87"/>
      <c r="G25" s="69"/>
      <c r="H25" s="69" t="n">
        <f aca="false">F25+G25</f>
        <v>0</v>
      </c>
      <c r="I25" s="69" t="n">
        <f aca="false">E25*H25</f>
        <v>0</v>
      </c>
      <c r="J25" s="71" t="s">
        <v>70</v>
      </c>
    </row>
    <row r="26" customFormat="false" ht="216" hidden="false" customHeight="true" outlineLevel="1" collapsed="false">
      <c r="A26" s="65" t="n">
        <v>19</v>
      </c>
      <c r="B26" s="66" t="s">
        <v>68</v>
      </c>
      <c r="C26" s="67" t="s">
        <v>74</v>
      </c>
      <c r="D26" s="86" t="s">
        <v>66</v>
      </c>
      <c r="E26" s="87" t="n">
        <v>12</v>
      </c>
      <c r="F26" s="87"/>
      <c r="G26" s="69"/>
      <c r="H26" s="69" t="n">
        <f aca="false">F26+G26</f>
        <v>0</v>
      </c>
      <c r="I26" s="69" t="n">
        <f aca="false">E26*H26</f>
        <v>0</v>
      </c>
      <c r="J26" s="71" t="s">
        <v>70</v>
      </c>
    </row>
    <row r="27" customFormat="false" ht="216" hidden="false" customHeight="true" outlineLevel="1" collapsed="false">
      <c r="A27" s="65" t="n">
        <v>20</v>
      </c>
      <c r="B27" s="66" t="s">
        <v>68</v>
      </c>
      <c r="C27" s="67" t="s">
        <v>75</v>
      </c>
      <c r="D27" s="86" t="s">
        <v>66</v>
      </c>
      <c r="E27" s="87" t="n">
        <v>24</v>
      </c>
      <c r="F27" s="87"/>
      <c r="G27" s="69"/>
      <c r="H27" s="69" t="n">
        <f aca="false">F27+G27</f>
        <v>0</v>
      </c>
      <c r="I27" s="69" t="n">
        <f aca="false">E27*H27</f>
        <v>0</v>
      </c>
      <c r="J27" s="71" t="s">
        <v>70</v>
      </c>
    </row>
    <row r="28" customFormat="false" ht="192.75" hidden="false" customHeight="true" outlineLevel="1" collapsed="false">
      <c r="A28" s="65" t="n">
        <v>21</v>
      </c>
      <c r="B28" s="66" t="s">
        <v>64</v>
      </c>
      <c r="C28" s="67" t="s">
        <v>76</v>
      </c>
      <c r="D28" s="86" t="s">
        <v>66</v>
      </c>
      <c r="E28" s="87" t="n">
        <v>174</v>
      </c>
      <c r="F28" s="87"/>
      <c r="G28" s="69"/>
      <c r="H28" s="69" t="n">
        <f aca="false">F28+G28</f>
        <v>0</v>
      </c>
      <c r="I28" s="69" t="n">
        <f aca="false">E28*H28</f>
        <v>0</v>
      </c>
      <c r="J28" s="71" t="s">
        <v>53</v>
      </c>
    </row>
    <row r="29" customFormat="false" ht="192.75" hidden="false" customHeight="true" outlineLevel="1" collapsed="false">
      <c r="A29" s="65" t="n">
        <v>22</v>
      </c>
      <c r="B29" s="66" t="s">
        <v>68</v>
      </c>
      <c r="C29" s="67" t="s">
        <v>77</v>
      </c>
      <c r="D29" s="86" t="s">
        <v>66</v>
      </c>
      <c r="E29" s="87" t="n">
        <v>60</v>
      </c>
      <c r="F29" s="87"/>
      <c r="G29" s="69"/>
      <c r="H29" s="69" t="n">
        <f aca="false">F29+G29</f>
        <v>0</v>
      </c>
      <c r="I29" s="69" t="n">
        <f aca="false">E29*H29</f>
        <v>0</v>
      </c>
      <c r="J29" s="71" t="s">
        <v>78</v>
      </c>
      <c r="K29" s="85"/>
    </row>
    <row r="30" customFormat="false" ht="192.75" hidden="false" customHeight="true" outlineLevel="1" collapsed="false">
      <c r="A30" s="65" t="n">
        <v>23</v>
      </c>
      <c r="B30" s="66" t="s">
        <v>68</v>
      </c>
      <c r="C30" s="67" t="s">
        <v>79</v>
      </c>
      <c r="D30" s="86" t="s">
        <v>66</v>
      </c>
      <c r="E30" s="87" t="n">
        <v>108</v>
      </c>
      <c r="F30" s="87"/>
      <c r="G30" s="69"/>
      <c r="H30" s="69" t="n">
        <f aca="false">F30+G30</f>
        <v>0</v>
      </c>
      <c r="I30" s="69" t="n">
        <f aca="false">E30*H30</f>
        <v>0</v>
      </c>
      <c r="J30" s="71" t="s">
        <v>78</v>
      </c>
      <c r="K30" s="85"/>
    </row>
    <row r="31" customFormat="false" ht="192.75" hidden="false" customHeight="true" outlineLevel="1" collapsed="false">
      <c r="A31" s="65" t="n">
        <v>24</v>
      </c>
      <c r="B31" s="66" t="s">
        <v>68</v>
      </c>
      <c r="C31" s="67" t="s">
        <v>80</v>
      </c>
      <c r="D31" s="86" t="s">
        <v>66</v>
      </c>
      <c r="E31" s="87" t="n">
        <v>72</v>
      </c>
      <c r="F31" s="87"/>
      <c r="G31" s="69"/>
      <c r="H31" s="69" t="n">
        <f aca="false">F31+G31</f>
        <v>0</v>
      </c>
      <c r="I31" s="69" t="n">
        <f aca="false">E31*H31</f>
        <v>0</v>
      </c>
      <c r="J31" s="71" t="s">
        <v>78</v>
      </c>
      <c r="K31" s="85"/>
    </row>
    <row r="32" customFormat="false" ht="192.75" hidden="false" customHeight="true" outlineLevel="1" collapsed="false">
      <c r="A32" s="65" t="n">
        <v>25</v>
      </c>
      <c r="B32" s="66" t="s">
        <v>68</v>
      </c>
      <c r="C32" s="67" t="s">
        <v>81</v>
      </c>
      <c r="D32" s="86" t="s">
        <v>66</v>
      </c>
      <c r="E32" s="87" t="n">
        <v>54</v>
      </c>
      <c r="F32" s="87"/>
      <c r="G32" s="69"/>
      <c r="H32" s="69" t="n">
        <f aca="false">F32+G32</f>
        <v>0</v>
      </c>
      <c r="I32" s="69" t="n">
        <f aca="false">E32*H32</f>
        <v>0</v>
      </c>
      <c r="J32" s="71" t="s">
        <v>78</v>
      </c>
      <c r="K32" s="85"/>
    </row>
    <row r="33" customFormat="false" ht="192.75" hidden="false" customHeight="true" outlineLevel="1" collapsed="false">
      <c r="A33" s="65" t="n">
        <v>26</v>
      </c>
      <c r="B33" s="66" t="s">
        <v>68</v>
      </c>
      <c r="C33" s="67" t="s">
        <v>82</v>
      </c>
      <c r="D33" s="86" t="s">
        <v>66</v>
      </c>
      <c r="E33" s="87" t="n">
        <v>30</v>
      </c>
      <c r="F33" s="87"/>
      <c r="G33" s="69"/>
      <c r="H33" s="69" t="n">
        <f aca="false">F33+G33</f>
        <v>0</v>
      </c>
      <c r="I33" s="69" t="n">
        <f aca="false">E33*H33</f>
        <v>0</v>
      </c>
      <c r="J33" s="71" t="s">
        <v>78</v>
      </c>
    </row>
    <row r="34" customFormat="false" ht="204.75" hidden="false" customHeight="true" outlineLevel="1" collapsed="false">
      <c r="A34" s="65" t="n">
        <v>27</v>
      </c>
      <c r="B34" s="66" t="s">
        <v>68</v>
      </c>
      <c r="C34" s="67" t="s">
        <v>83</v>
      </c>
      <c r="D34" s="86" t="s">
        <v>66</v>
      </c>
      <c r="E34" s="87" t="n">
        <v>54</v>
      </c>
      <c r="F34" s="87"/>
      <c r="G34" s="69"/>
      <c r="H34" s="69" t="n">
        <f aca="false">F34+G34</f>
        <v>0</v>
      </c>
      <c r="I34" s="69" t="n">
        <f aca="false">E34*H34</f>
        <v>0</v>
      </c>
      <c r="J34" s="71" t="s">
        <v>78</v>
      </c>
      <c r="K34" s="85"/>
    </row>
    <row r="35" customFormat="false" ht="192.75" hidden="false" customHeight="true" outlineLevel="1" collapsed="false">
      <c r="A35" s="65" t="n">
        <v>28</v>
      </c>
      <c r="B35" s="88" t="s">
        <v>84</v>
      </c>
      <c r="C35" s="67" t="s">
        <v>85</v>
      </c>
      <c r="D35" s="86" t="s">
        <v>66</v>
      </c>
      <c r="E35" s="87" t="n">
        <v>36</v>
      </c>
      <c r="F35" s="87"/>
      <c r="G35" s="69"/>
      <c r="H35" s="69" t="n">
        <f aca="false">F35+G35</f>
        <v>0</v>
      </c>
      <c r="I35" s="69" t="n">
        <f aca="false">E35*H35</f>
        <v>0</v>
      </c>
      <c r="J35" s="71" t="s">
        <v>86</v>
      </c>
    </row>
    <row r="36" customFormat="false" ht="192.75" hidden="false" customHeight="true" outlineLevel="1" collapsed="false">
      <c r="A36" s="65" t="n">
        <v>29</v>
      </c>
      <c r="B36" s="88" t="s">
        <v>84</v>
      </c>
      <c r="C36" s="67" t="s">
        <v>87</v>
      </c>
      <c r="D36" s="86" t="s">
        <v>66</v>
      </c>
      <c r="E36" s="87" t="n">
        <v>48</v>
      </c>
      <c r="F36" s="87"/>
      <c r="G36" s="69"/>
      <c r="H36" s="69" t="n">
        <f aca="false">F36+G36</f>
        <v>0</v>
      </c>
      <c r="I36" s="69" t="n">
        <f aca="false">E36*H36</f>
        <v>0</v>
      </c>
      <c r="J36" s="71" t="s">
        <v>86</v>
      </c>
    </row>
    <row r="37" customFormat="false" ht="192.75" hidden="false" customHeight="true" outlineLevel="1" collapsed="false">
      <c r="A37" s="65" t="n">
        <v>30</v>
      </c>
      <c r="B37" s="88" t="s">
        <v>84</v>
      </c>
      <c r="C37" s="67" t="s">
        <v>88</v>
      </c>
      <c r="D37" s="86" t="s">
        <v>66</v>
      </c>
      <c r="E37" s="87" t="n">
        <v>8</v>
      </c>
      <c r="F37" s="87"/>
      <c r="G37" s="69"/>
      <c r="H37" s="69" t="n">
        <f aca="false">F37+G37</f>
        <v>0</v>
      </c>
      <c r="I37" s="69" t="n">
        <f aca="false">E37*H37</f>
        <v>0</v>
      </c>
      <c r="J37" s="71" t="s">
        <v>86</v>
      </c>
    </row>
    <row r="38" customFormat="false" ht="192.75" hidden="false" customHeight="true" outlineLevel="1" collapsed="false">
      <c r="A38" s="65" t="n">
        <v>31</v>
      </c>
      <c r="B38" s="88" t="s">
        <v>84</v>
      </c>
      <c r="C38" s="67" t="s">
        <v>89</v>
      </c>
      <c r="D38" s="86" t="s">
        <v>66</v>
      </c>
      <c r="E38" s="87" t="n">
        <v>36</v>
      </c>
      <c r="F38" s="87"/>
      <c r="G38" s="69"/>
      <c r="H38" s="69" t="n">
        <f aca="false">F38+G38</f>
        <v>0</v>
      </c>
      <c r="I38" s="69" t="n">
        <f aca="false">E38*H38</f>
        <v>0</v>
      </c>
      <c r="J38" s="71" t="s">
        <v>86</v>
      </c>
    </row>
    <row r="39" customFormat="false" ht="192.75" hidden="false" customHeight="true" outlineLevel="1" collapsed="false">
      <c r="A39" s="65" t="n">
        <v>32</v>
      </c>
      <c r="B39" s="88" t="s">
        <v>84</v>
      </c>
      <c r="C39" s="67" t="s">
        <v>90</v>
      </c>
      <c r="D39" s="86" t="s">
        <v>66</v>
      </c>
      <c r="E39" s="87" t="n">
        <v>72</v>
      </c>
      <c r="F39" s="87"/>
      <c r="G39" s="69"/>
      <c r="H39" s="69" t="n">
        <f aca="false">F39+G39</f>
        <v>0</v>
      </c>
      <c r="I39" s="69" t="n">
        <f aca="false">E39*H39</f>
        <v>0</v>
      </c>
      <c r="J39" s="71" t="s">
        <v>86</v>
      </c>
    </row>
    <row r="40" customFormat="false" ht="192.75" hidden="false" customHeight="true" outlineLevel="1" collapsed="false">
      <c r="A40" s="65" t="n">
        <v>33</v>
      </c>
      <c r="B40" s="88" t="s">
        <v>84</v>
      </c>
      <c r="C40" s="67" t="s">
        <v>91</v>
      </c>
      <c r="D40" s="86" t="s">
        <v>66</v>
      </c>
      <c r="E40" s="87" t="n">
        <v>24</v>
      </c>
      <c r="F40" s="87"/>
      <c r="G40" s="69"/>
      <c r="H40" s="69" t="n">
        <f aca="false">F40+G40</f>
        <v>0</v>
      </c>
      <c r="I40" s="69" t="n">
        <f aca="false">E40*H40</f>
        <v>0</v>
      </c>
      <c r="J40" s="71" t="s">
        <v>86</v>
      </c>
    </row>
    <row r="41" s="95" customFormat="true" ht="187.5" hidden="false" customHeight="true" outlineLevel="1" collapsed="false">
      <c r="A41" s="65" t="n">
        <v>34</v>
      </c>
      <c r="B41" s="89" t="s">
        <v>92</v>
      </c>
      <c r="C41" s="90" t="s">
        <v>93</v>
      </c>
      <c r="D41" s="91" t="s">
        <v>66</v>
      </c>
      <c r="E41" s="92" t="n">
        <v>24</v>
      </c>
      <c r="F41" s="92"/>
      <c r="G41" s="69"/>
      <c r="H41" s="69" t="n">
        <f aca="false">F41+G41</f>
        <v>0</v>
      </c>
      <c r="I41" s="69" t="n">
        <f aca="false">E41*H41</f>
        <v>0</v>
      </c>
      <c r="J41" s="93" t="s">
        <v>94</v>
      </c>
      <c r="K41" s="85"/>
      <c r="L41" s="45"/>
      <c r="M41" s="94"/>
      <c r="N41" s="94"/>
      <c r="O41" s="94"/>
    </row>
    <row r="42" s="95" customFormat="true" ht="187.5" hidden="false" customHeight="true" outlineLevel="1" collapsed="false">
      <c r="A42" s="65" t="n">
        <v>35</v>
      </c>
      <c r="B42" s="89" t="s">
        <v>92</v>
      </c>
      <c r="C42" s="90" t="s">
        <v>95</v>
      </c>
      <c r="D42" s="91" t="s">
        <v>66</v>
      </c>
      <c r="E42" s="92" t="n">
        <v>12</v>
      </c>
      <c r="F42" s="92"/>
      <c r="G42" s="69"/>
      <c r="H42" s="69" t="n">
        <f aca="false">F42+G42</f>
        <v>0</v>
      </c>
      <c r="I42" s="69" t="n">
        <f aca="false">E42*H42</f>
        <v>0</v>
      </c>
      <c r="J42" s="93" t="s">
        <v>94</v>
      </c>
      <c r="K42" s="45"/>
      <c r="L42" s="45"/>
      <c r="M42" s="94"/>
      <c r="N42" s="94"/>
      <c r="O42" s="94"/>
    </row>
    <row r="43" customFormat="false" ht="123" hidden="false" customHeight="true" outlineLevel="1" collapsed="false">
      <c r="A43" s="65" t="n">
        <v>36</v>
      </c>
      <c r="B43" s="66" t="s">
        <v>96</v>
      </c>
      <c r="C43" s="67" t="s">
        <v>97</v>
      </c>
      <c r="D43" s="86" t="s">
        <v>98</v>
      </c>
      <c r="E43" s="87" t="n">
        <v>5787.4</v>
      </c>
      <c r="F43" s="87"/>
      <c r="G43" s="96"/>
      <c r="H43" s="69" t="n">
        <f aca="false">F43+G43</f>
        <v>0</v>
      </c>
      <c r="I43" s="69" t="n">
        <f aca="false">E43*H43</f>
        <v>0</v>
      </c>
      <c r="J43" s="71" t="s">
        <v>99</v>
      </c>
    </row>
    <row r="44" customFormat="false" ht="111" hidden="false" customHeight="true" outlineLevel="1" collapsed="false">
      <c r="A44" s="65" t="n">
        <v>37</v>
      </c>
      <c r="B44" s="66" t="s">
        <v>100</v>
      </c>
      <c r="C44" s="67" t="s">
        <v>101</v>
      </c>
      <c r="D44" s="66" t="s">
        <v>102</v>
      </c>
      <c r="E44" s="68" t="n">
        <v>1</v>
      </c>
      <c r="F44" s="68"/>
      <c r="G44" s="69"/>
      <c r="H44" s="69" t="n">
        <f aca="false">F44+G44</f>
        <v>0</v>
      </c>
      <c r="I44" s="69" t="n">
        <f aca="false">E44*H44</f>
        <v>0</v>
      </c>
      <c r="J44" s="71" t="s">
        <v>103</v>
      </c>
    </row>
    <row r="45" customFormat="false" ht="111" hidden="false" customHeight="true" outlineLevel="1" collapsed="false">
      <c r="A45" s="65" t="n">
        <v>38</v>
      </c>
      <c r="B45" s="66" t="s">
        <v>104</v>
      </c>
      <c r="C45" s="67" t="s">
        <v>105</v>
      </c>
      <c r="D45" s="66" t="s">
        <v>102</v>
      </c>
      <c r="E45" s="68" t="n">
        <v>1</v>
      </c>
      <c r="F45" s="68"/>
      <c r="G45" s="69"/>
      <c r="H45" s="69" t="n">
        <f aca="false">F45+G45</f>
        <v>0</v>
      </c>
      <c r="I45" s="69" t="n">
        <f aca="false">E45*H45</f>
        <v>0</v>
      </c>
      <c r="J45" s="71" t="s">
        <v>103</v>
      </c>
    </row>
    <row r="46" customFormat="false" ht="111" hidden="false" customHeight="true" outlineLevel="1" collapsed="false">
      <c r="A46" s="65" t="n">
        <v>39</v>
      </c>
      <c r="B46" s="66" t="s">
        <v>106</v>
      </c>
      <c r="C46" s="67" t="s">
        <v>107</v>
      </c>
      <c r="D46" s="66" t="s">
        <v>102</v>
      </c>
      <c r="E46" s="68" t="n">
        <v>3</v>
      </c>
      <c r="F46" s="68"/>
      <c r="G46" s="69"/>
      <c r="H46" s="69" t="n">
        <f aca="false">F46+G46</f>
        <v>0</v>
      </c>
      <c r="I46" s="69" t="n">
        <f aca="false">E46*H46</f>
        <v>0</v>
      </c>
      <c r="J46" s="71" t="s">
        <v>103</v>
      </c>
    </row>
    <row r="47" customFormat="false" ht="111" hidden="false" customHeight="true" outlineLevel="1" collapsed="false">
      <c r="A47" s="65" t="n">
        <v>40</v>
      </c>
      <c r="B47" s="66" t="s">
        <v>108</v>
      </c>
      <c r="C47" s="67" t="s">
        <v>109</v>
      </c>
      <c r="D47" s="66" t="s">
        <v>102</v>
      </c>
      <c r="E47" s="68" t="n">
        <v>6</v>
      </c>
      <c r="F47" s="68"/>
      <c r="G47" s="69"/>
      <c r="H47" s="69" t="n">
        <f aca="false">F47+G47</f>
        <v>0</v>
      </c>
      <c r="I47" s="69" t="n">
        <f aca="false">E47*H47</f>
        <v>0</v>
      </c>
      <c r="J47" s="71" t="s">
        <v>103</v>
      </c>
    </row>
    <row r="48" customFormat="false" ht="111" hidden="false" customHeight="true" outlineLevel="1" collapsed="false">
      <c r="A48" s="65" t="n">
        <v>41</v>
      </c>
      <c r="B48" s="66" t="s">
        <v>108</v>
      </c>
      <c r="C48" s="67" t="s">
        <v>110</v>
      </c>
      <c r="D48" s="66" t="s">
        <v>102</v>
      </c>
      <c r="E48" s="68" t="n">
        <v>12</v>
      </c>
      <c r="F48" s="68"/>
      <c r="G48" s="69"/>
      <c r="H48" s="69" t="n">
        <f aca="false">F48+G48</f>
        <v>0</v>
      </c>
      <c r="I48" s="69" t="n">
        <f aca="false">E48*H48</f>
        <v>0</v>
      </c>
      <c r="J48" s="71" t="s">
        <v>103</v>
      </c>
    </row>
    <row r="49" customFormat="false" ht="111" hidden="false" customHeight="true" outlineLevel="1" collapsed="false">
      <c r="A49" s="65" t="n">
        <v>42</v>
      </c>
      <c r="B49" s="66" t="s">
        <v>111</v>
      </c>
      <c r="C49" s="67" t="s">
        <v>112</v>
      </c>
      <c r="D49" s="66" t="s">
        <v>102</v>
      </c>
      <c r="E49" s="68" t="n">
        <v>1</v>
      </c>
      <c r="F49" s="68"/>
      <c r="G49" s="69"/>
      <c r="H49" s="69" t="n">
        <f aca="false">F49+G49</f>
        <v>0</v>
      </c>
      <c r="I49" s="69" t="n">
        <f aca="false">E49*H49</f>
        <v>0</v>
      </c>
      <c r="J49" s="71" t="s">
        <v>113</v>
      </c>
    </row>
    <row r="50" customFormat="false" ht="111" hidden="false" customHeight="true" outlineLevel="1" collapsed="false">
      <c r="A50" s="65" t="n">
        <v>43</v>
      </c>
      <c r="B50" s="66" t="s">
        <v>111</v>
      </c>
      <c r="C50" s="67" t="s">
        <v>114</v>
      </c>
      <c r="D50" s="66" t="s">
        <v>102</v>
      </c>
      <c r="E50" s="68" t="n">
        <v>2</v>
      </c>
      <c r="F50" s="68"/>
      <c r="G50" s="69"/>
      <c r="H50" s="69" t="n">
        <f aca="false">F50+G50</f>
        <v>0</v>
      </c>
      <c r="I50" s="69" t="n">
        <f aca="false">E50*H50</f>
        <v>0</v>
      </c>
      <c r="J50" s="71" t="s">
        <v>113</v>
      </c>
    </row>
    <row r="51" customFormat="false" ht="111" hidden="false" customHeight="true" outlineLevel="1" collapsed="false">
      <c r="A51" s="65" t="n">
        <v>44</v>
      </c>
      <c r="B51" s="66" t="s">
        <v>111</v>
      </c>
      <c r="C51" s="67" t="s">
        <v>115</v>
      </c>
      <c r="D51" s="66" t="s">
        <v>102</v>
      </c>
      <c r="E51" s="68" t="n">
        <v>1</v>
      </c>
      <c r="F51" s="68"/>
      <c r="G51" s="69"/>
      <c r="H51" s="69" t="n">
        <f aca="false">F51+G51</f>
        <v>0</v>
      </c>
      <c r="I51" s="69" t="n">
        <f aca="false">E51*H51</f>
        <v>0</v>
      </c>
      <c r="J51" s="71" t="s">
        <v>113</v>
      </c>
    </row>
    <row r="52" customFormat="false" ht="111" hidden="false" customHeight="true" outlineLevel="1" collapsed="false">
      <c r="A52" s="65" t="n">
        <v>45</v>
      </c>
      <c r="B52" s="66" t="s">
        <v>111</v>
      </c>
      <c r="C52" s="67" t="s">
        <v>116</v>
      </c>
      <c r="D52" s="66" t="s">
        <v>102</v>
      </c>
      <c r="E52" s="68" t="n">
        <v>1</v>
      </c>
      <c r="F52" s="68"/>
      <c r="G52" s="69"/>
      <c r="H52" s="69" t="n">
        <f aca="false">F52+G52</f>
        <v>0</v>
      </c>
      <c r="I52" s="69" t="n">
        <f aca="false">E52*H52</f>
        <v>0</v>
      </c>
      <c r="J52" s="71" t="s">
        <v>113</v>
      </c>
    </row>
    <row r="53" customFormat="false" ht="111" hidden="false" customHeight="true" outlineLevel="1" collapsed="false">
      <c r="A53" s="65" t="n">
        <v>46</v>
      </c>
      <c r="B53" s="66" t="s">
        <v>117</v>
      </c>
      <c r="C53" s="67" t="s">
        <v>118</v>
      </c>
      <c r="D53" s="66" t="s">
        <v>102</v>
      </c>
      <c r="E53" s="68" t="n">
        <v>2</v>
      </c>
      <c r="F53" s="68"/>
      <c r="G53" s="69"/>
      <c r="H53" s="69" t="n">
        <f aca="false">F53+G53</f>
        <v>0</v>
      </c>
      <c r="I53" s="69" t="n">
        <f aca="false">E53*H53</f>
        <v>0</v>
      </c>
      <c r="J53" s="71" t="s">
        <v>113</v>
      </c>
    </row>
    <row r="54" customFormat="false" ht="111" hidden="false" customHeight="true" outlineLevel="1" collapsed="false">
      <c r="A54" s="65" t="n">
        <v>47</v>
      </c>
      <c r="B54" s="66" t="s">
        <v>117</v>
      </c>
      <c r="C54" s="67" t="s">
        <v>119</v>
      </c>
      <c r="D54" s="66" t="s">
        <v>102</v>
      </c>
      <c r="E54" s="68" t="n">
        <v>2</v>
      </c>
      <c r="F54" s="68"/>
      <c r="G54" s="69"/>
      <c r="H54" s="69" t="n">
        <f aca="false">F54+G54</f>
        <v>0</v>
      </c>
      <c r="I54" s="69" t="n">
        <f aca="false">E54*H54</f>
        <v>0</v>
      </c>
      <c r="J54" s="71" t="s">
        <v>113</v>
      </c>
    </row>
    <row r="55" customFormat="false" ht="111" hidden="false" customHeight="true" outlineLevel="1" collapsed="false">
      <c r="A55" s="65" t="n">
        <v>48</v>
      </c>
      <c r="B55" s="66" t="s">
        <v>117</v>
      </c>
      <c r="C55" s="67" t="s">
        <v>120</v>
      </c>
      <c r="D55" s="66" t="s">
        <v>102</v>
      </c>
      <c r="E55" s="68" t="n">
        <v>2</v>
      </c>
      <c r="F55" s="68"/>
      <c r="G55" s="69"/>
      <c r="H55" s="69" t="n">
        <f aca="false">F55+G55</f>
        <v>0</v>
      </c>
      <c r="I55" s="69" t="n">
        <f aca="false">E55*H55</f>
        <v>0</v>
      </c>
      <c r="J55" s="71" t="s">
        <v>113</v>
      </c>
    </row>
    <row r="56" customFormat="false" ht="111" hidden="false" customHeight="true" outlineLevel="1" collapsed="false">
      <c r="A56" s="65" t="n">
        <v>49</v>
      </c>
      <c r="B56" s="66" t="s">
        <v>117</v>
      </c>
      <c r="C56" s="67" t="s">
        <v>121</v>
      </c>
      <c r="D56" s="66" t="s">
        <v>102</v>
      </c>
      <c r="E56" s="68" t="n">
        <v>32</v>
      </c>
      <c r="F56" s="68"/>
      <c r="G56" s="69"/>
      <c r="H56" s="69" t="n">
        <f aca="false">F56+G56</f>
        <v>0</v>
      </c>
      <c r="I56" s="69" t="n">
        <f aca="false">E56*H56</f>
        <v>0</v>
      </c>
      <c r="J56" s="71" t="s">
        <v>113</v>
      </c>
    </row>
    <row r="57" customFormat="false" ht="111" hidden="false" customHeight="true" outlineLevel="1" collapsed="false">
      <c r="A57" s="65" t="n">
        <v>50</v>
      </c>
      <c r="B57" s="66" t="s">
        <v>117</v>
      </c>
      <c r="C57" s="67" t="s">
        <v>122</v>
      </c>
      <c r="D57" s="66" t="s">
        <v>102</v>
      </c>
      <c r="E57" s="68" t="n">
        <v>26</v>
      </c>
      <c r="F57" s="68"/>
      <c r="G57" s="69"/>
      <c r="H57" s="69" t="n">
        <f aca="false">F57+G57</f>
        <v>0</v>
      </c>
      <c r="I57" s="69" t="n">
        <f aca="false">E57*H57</f>
        <v>0</v>
      </c>
      <c r="J57" s="71" t="s">
        <v>113</v>
      </c>
    </row>
    <row r="58" customFormat="false" ht="111" hidden="false" customHeight="true" outlineLevel="1" collapsed="false">
      <c r="A58" s="65" t="n">
        <v>51</v>
      </c>
      <c r="B58" s="66" t="s">
        <v>117</v>
      </c>
      <c r="C58" s="67" t="s">
        <v>123</v>
      </c>
      <c r="D58" s="66" t="s">
        <v>102</v>
      </c>
      <c r="E58" s="68" t="n">
        <v>12</v>
      </c>
      <c r="F58" s="68"/>
      <c r="G58" s="69"/>
      <c r="H58" s="69" t="n">
        <f aca="false">F58+G58</f>
        <v>0</v>
      </c>
      <c r="I58" s="69" t="n">
        <f aca="false">E58*H58</f>
        <v>0</v>
      </c>
      <c r="J58" s="71" t="s">
        <v>113</v>
      </c>
    </row>
    <row r="59" customFormat="false" ht="111" hidden="false" customHeight="true" outlineLevel="1" collapsed="false">
      <c r="A59" s="65" t="n">
        <v>52</v>
      </c>
      <c r="B59" s="66" t="s">
        <v>117</v>
      </c>
      <c r="C59" s="67" t="s">
        <v>124</v>
      </c>
      <c r="D59" s="66" t="s">
        <v>102</v>
      </c>
      <c r="E59" s="68" t="n">
        <v>24</v>
      </c>
      <c r="F59" s="68"/>
      <c r="G59" s="69"/>
      <c r="H59" s="69" t="n">
        <f aca="false">F59+G59</f>
        <v>0</v>
      </c>
      <c r="I59" s="69" t="n">
        <f aca="false">E59*H59</f>
        <v>0</v>
      </c>
      <c r="J59" s="71" t="s">
        <v>113</v>
      </c>
    </row>
    <row r="60" customFormat="false" ht="111" hidden="false" customHeight="true" outlineLevel="1" collapsed="false">
      <c r="A60" s="65" t="n">
        <v>53</v>
      </c>
      <c r="B60" s="66" t="s">
        <v>117</v>
      </c>
      <c r="C60" s="67" t="s">
        <v>125</v>
      </c>
      <c r="D60" s="66" t="s">
        <v>102</v>
      </c>
      <c r="E60" s="68" t="n">
        <v>2</v>
      </c>
      <c r="F60" s="68"/>
      <c r="G60" s="69"/>
      <c r="H60" s="69" t="n">
        <f aca="false">F60+G60</f>
        <v>0</v>
      </c>
      <c r="I60" s="69" t="n">
        <f aca="false">E60*H60</f>
        <v>0</v>
      </c>
      <c r="J60" s="71" t="s">
        <v>113</v>
      </c>
    </row>
    <row r="61" customFormat="false" ht="111" hidden="false" customHeight="true" outlineLevel="1" collapsed="false">
      <c r="A61" s="65" t="n">
        <v>54</v>
      </c>
      <c r="B61" s="66" t="s">
        <v>117</v>
      </c>
      <c r="C61" s="67" t="s">
        <v>126</v>
      </c>
      <c r="D61" s="66" t="s">
        <v>102</v>
      </c>
      <c r="E61" s="68" t="n">
        <v>2</v>
      </c>
      <c r="F61" s="68"/>
      <c r="G61" s="69"/>
      <c r="H61" s="69" t="n">
        <f aca="false">F61+G61</f>
        <v>0</v>
      </c>
      <c r="I61" s="69" t="n">
        <f aca="false">E61*H61</f>
        <v>0</v>
      </c>
      <c r="J61" s="71" t="s">
        <v>113</v>
      </c>
    </row>
    <row r="62" customFormat="false" ht="111" hidden="false" customHeight="true" outlineLevel="1" collapsed="false">
      <c r="A62" s="65" t="n">
        <v>55</v>
      </c>
      <c r="B62" s="66" t="s">
        <v>127</v>
      </c>
      <c r="C62" s="67" t="s">
        <v>128</v>
      </c>
      <c r="D62" s="66" t="s">
        <v>102</v>
      </c>
      <c r="E62" s="68" t="n">
        <v>20</v>
      </c>
      <c r="F62" s="68"/>
      <c r="G62" s="69"/>
      <c r="H62" s="69" t="n">
        <f aca="false">F62+G62</f>
        <v>0</v>
      </c>
      <c r="I62" s="69" t="n">
        <f aca="false">E62*H62</f>
        <v>0</v>
      </c>
      <c r="J62" s="71" t="s">
        <v>129</v>
      </c>
    </row>
    <row r="63" customFormat="false" ht="111" hidden="false" customHeight="true" outlineLevel="1" collapsed="false">
      <c r="A63" s="65" t="n">
        <v>56</v>
      </c>
      <c r="B63" s="66" t="s">
        <v>127</v>
      </c>
      <c r="C63" s="67" t="s">
        <v>130</v>
      </c>
      <c r="D63" s="66" t="s">
        <v>102</v>
      </c>
      <c r="E63" s="68" t="n">
        <v>1</v>
      </c>
      <c r="F63" s="68"/>
      <c r="G63" s="69"/>
      <c r="H63" s="69" t="n">
        <f aca="false">F63+G63</f>
        <v>0</v>
      </c>
      <c r="I63" s="69" t="n">
        <f aca="false">E63*H63</f>
        <v>0</v>
      </c>
      <c r="J63" s="71" t="s">
        <v>129</v>
      </c>
      <c r="K63" s="85"/>
    </row>
    <row r="64" customFormat="false" ht="111" hidden="false" customHeight="true" outlineLevel="1" collapsed="false">
      <c r="A64" s="65" t="n">
        <v>57</v>
      </c>
      <c r="B64" s="66" t="s">
        <v>127</v>
      </c>
      <c r="C64" s="67" t="s">
        <v>131</v>
      </c>
      <c r="D64" s="66" t="s">
        <v>102</v>
      </c>
      <c r="E64" s="68" t="n">
        <v>40</v>
      </c>
      <c r="F64" s="68"/>
      <c r="G64" s="69"/>
      <c r="H64" s="69" t="n">
        <f aca="false">F64+G64</f>
        <v>0</v>
      </c>
      <c r="I64" s="69" t="n">
        <f aca="false">E64*H64</f>
        <v>0</v>
      </c>
      <c r="J64" s="71" t="s">
        <v>129</v>
      </c>
    </row>
    <row r="65" customFormat="false" ht="111" hidden="false" customHeight="true" outlineLevel="1" collapsed="false">
      <c r="A65" s="65" t="n">
        <v>58</v>
      </c>
      <c r="B65" s="66" t="s">
        <v>127</v>
      </c>
      <c r="C65" s="67" t="s">
        <v>132</v>
      </c>
      <c r="D65" s="66" t="s">
        <v>102</v>
      </c>
      <c r="E65" s="68" t="n">
        <v>8</v>
      </c>
      <c r="F65" s="68"/>
      <c r="G65" s="69"/>
      <c r="H65" s="69" t="n">
        <f aca="false">F65+G65</f>
        <v>0</v>
      </c>
      <c r="I65" s="69" t="n">
        <f aca="false">E65*H65</f>
        <v>0</v>
      </c>
      <c r="J65" s="71" t="s">
        <v>129</v>
      </c>
    </row>
    <row r="66" customFormat="false" ht="111" hidden="false" customHeight="true" outlineLevel="1" collapsed="false">
      <c r="A66" s="65" t="n">
        <v>59</v>
      </c>
      <c r="B66" s="66" t="s">
        <v>127</v>
      </c>
      <c r="C66" s="67" t="s">
        <v>133</v>
      </c>
      <c r="D66" s="66" t="s">
        <v>102</v>
      </c>
      <c r="E66" s="68" t="n">
        <v>6</v>
      </c>
      <c r="F66" s="68"/>
      <c r="G66" s="69"/>
      <c r="H66" s="69" t="n">
        <f aca="false">F66+G66</f>
        <v>0</v>
      </c>
      <c r="I66" s="69" t="n">
        <f aca="false">E66*H66</f>
        <v>0</v>
      </c>
      <c r="J66" s="71" t="s">
        <v>129</v>
      </c>
    </row>
    <row r="67" customFormat="false" ht="87.75" hidden="false" customHeight="true" outlineLevel="1" collapsed="false">
      <c r="A67" s="65" t="n">
        <v>60</v>
      </c>
      <c r="B67" s="66" t="s">
        <v>134</v>
      </c>
      <c r="C67" s="67" t="s">
        <v>135</v>
      </c>
      <c r="D67" s="66" t="s">
        <v>102</v>
      </c>
      <c r="E67" s="68" t="n">
        <v>1</v>
      </c>
      <c r="F67" s="68"/>
      <c r="G67" s="69"/>
      <c r="H67" s="69" t="n">
        <f aca="false">F67+G67</f>
        <v>0</v>
      </c>
      <c r="I67" s="69" t="n">
        <f aca="false">E67*H67</f>
        <v>0</v>
      </c>
      <c r="J67" s="71" t="s">
        <v>129</v>
      </c>
    </row>
    <row r="68" customFormat="false" ht="111" hidden="false" customHeight="true" outlineLevel="1" collapsed="false">
      <c r="A68" s="65" t="n">
        <v>61</v>
      </c>
      <c r="B68" s="66" t="s">
        <v>136</v>
      </c>
      <c r="C68" s="67" t="s">
        <v>137</v>
      </c>
      <c r="D68" s="66" t="s">
        <v>102</v>
      </c>
      <c r="E68" s="68" t="n">
        <v>8</v>
      </c>
      <c r="F68" s="68"/>
      <c r="G68" s="69"/>
      <c r="H68" s="69" t="n">
        <f aca="false">F68+G68</f>
        <v>0</v>
      </c>
      <c r="I68" s="69" t="n">
        <f aca="false">E68*H68</f>
        <v>0</v>
      </c>
      <c r="J68" s="71" t="s">
        <v>113</v>
      </c>
    </row>
    <row r="69" customFormat="false" ht="111" hidden="false" customHeight="true" outlineLevel="1" collapsed="false">
      <c r="A69" s="65" t="n">
        <v>62</v>
      </c>
      <c r="B69" s="66" t="s">
        <v>138</v>
      </c>
      <c r="C69" s="67" t="s">
        <v>139</v>
      </c>
      <c r="D69" s="66" t="s">
        <v>102</v>
      </c>
      <c r="E69" s="68" t="n">
        <v>8</v>
      </c>
      <c r="F69" s="68"/>
      <c r="G69" s="69"/>
      <c r="H69" s="69" t="n">
        <f aca="false">F69+G69</f>
        <v>0</v>
      </c>
      <c r="I69" s="69" t="n">
        <f aca="false">E69*H69</f>
        <v>0</v>
      </c>
      <c r="J69" s="71" t="s">
        <v>113</v>
      </c>
    </row>
    <row r="70" customFormat="false" ht="111" hidden="false" customHeight="true" outlineLevel="1" collapsed="false">
      <c r="A70" s="65" t="n">
        <v>63</v>
      </c>
      <c r="B70" s="66" t="s">
        <v>140</v>
      </c>
      <c r="C70" s="67" t="s">
        <v>141</v>
      </c>
      <c r="D70" s="66" t="s">
        <v>102</v>
      </c>
      <c r="E70" s="68" t="n">
        <v>1</v>
      </c>
      <c r="F70" s="68"/>
      <c r="G70" s="69"/>
      <c r="H70" s="69" t="n">
        <f aca="false">F70+G70</f>
        <v>0</v>
      </c>
      <c r="I70" s="69" t="n">
        <f aca="false">E70*H70</f>
        <v>0</v>
      </c>
      <c r="J70" s="71" t="s">
        <v>113</v>
      </c>
    </row>
    <row r="71" customFormat="false" ht="111" hidden="false" customHeight="true" outlineLevel="1" collapsed="false">
      <c r="A71" s="65" t="n">
        <v>64</v>
      </c>
      <c r="B71" s="66" t="s">
        <v>140</v>
      </c>
      <c r="C71" s="67" t="s">
        <v>142</v>
      </c>
      <c r="D71" s="66" t="s">
        <v>102</v>
      </c>
      <c r="E71" s="68" t="n">
        <v>1</v>
      </c>
      <c r="F71" s="68"/>
      <c r="G71" s="69"/>
      <c r="H71" s="69" t="n">
        <f aca="false">F71+G71</f>
        <v>0</v>
      </c>
      <c r="I71" s="69" t="n">
        <f aca="false">E71*H71</f>
        <v>0</v>
      </c>
      <c r="J71" s="71" t="s">
        <v>113</v>
      </c>
    </row>
    <row r="72" customFormat="false" ht="111" hidden="false" customHeight="true" outlineLevel="1" collapsed="false">
      <c r="A72" s="65" t="n">
        <v>65</v>
      </c>
      <c r="B72" s="66" t="s">
        <v>143</v>
      </c>
      <c r="C72" s="67" t="s">
        <v>144</v>
      </c>
      <c r="D72" s="66" t="s">
        <v>102</v>
      </c>
      <c r="E72" s="68" t="n">
        <v>8</v>
      </c>
      <c r="F72" s="68"/>
      <c r="G72" s="69"/>
      <c r="H72" s="69" t="n">
        <f aca="false">F72+G72</f>
        <v>0</v>
      </c>
      <c r="I72" s="69" t="n">
        <f aca="false">E72*H72</f>
        <v>0</v>
      </c>
      <c r="J72" s="71" t="s">
        <v>113</v>
      </c>
    </row>
    <row r="73" customFormat="false" ht="111" hidden="false" customHeight="true" outlineLevel="1" collapsed="false">
      <c r="A73" s="65" t="n">
        <v>66</v>
      </c>
      <c r="B73" s="66" t="s">
        <v>143</v>
      </c>
      <c r="C73" s="67" t="s">
        <v>145</v>
      </c>
      <c r="D73" s="66" t="s">
        <v>102</v>
      </c>
      <c r="E73" s="68" t="n">
        <v>20</v>
      </c>
      <c r="F73" s="68"/>
      <c r="G73" s="69"/>
      <c r="H73" s="69" t="n">
        <f aca="false">F73+G73</f>
        <v>0</v>
      </c>
      <c r="I73" s="69" t="n">
        <f aca="false">E73*H73</f>
        <v>0</v>
      </c>
      <c r="J73" s="71" t="s">
        <v>113</v>
      </c>
    </row>
    <row r="74" customFormat="false" ht="111" hidden="false" customHeight="true" outlineLevel="1" collapsed="false">
      <c r="A74" s="65" t="n">
        <v>67</v>
      </c>
      <c r="B74" s="66" t="s">
        <v>143</v>
      </c>
      <c r="C74" s="67" t="s">
        <v>146</v>
      </c>
      <c r="D74" s="66" t="s">
        <v>102</v>
      </c>
      <c r="E74" s="68" t="n">
        <v>6</v>
      </c>
      <c r="F74" s="68"/>
      <c r="G74" s="69"/>
      <c r="H74" s="69" t="n">
        <f aca="false">F74+G74</f>
        <v>0</v>
      </c>
      <c r="I74" s="69" t="n">
        <f aca="false">E74*H74</f>
        <v>0</v>
      </c>
      <c r="J74" s="71" t="s">
        <v>113</v>
      </c>
    </row>
    <row r="75" customFormat="false" ht="111" hidden="false" customHeight="true" outlineLevel="1" collapsed="false">
      <c r="A75" s="65" t="n">
        <v>68</v>
      </c>
      <c r="B75" s="66" t="s">
        <v>143</v>
      </c>
      <c r="C75" s="67" t="s">
        <v>147</v>
      </c>
      <c r="D75" s="66" t="s">
        <v>102</v>
      </c>
      <c r="E75" s="68" t="n">
        <v>12</v>
      </c>
      <c r="F75" s="68"/>
      <c r="G75" s="69"/>
      <c r="H75" s="69" t="n">
        <f aca="false">F75+G75</f>
        <v>0</v>
      </c>
      <c r="I75" s="69" t="n">
        <f aca="false">E75*H75</f>
        <v>0</v>
      </c>
      <c r="J75" s="71" t="s">
        <v>113</v>
      </c>
    </row>
    <row r="76" customFormat="false" ht="111" hidden="false" customHeight="true" outlineLevel="1" collapsed="false">
      <c r="A76" s="65" t="n">
        <v>69</v>
      </c>
      <c r="B76" s="66" t="s">
        <v>148</v>
      </c>
      <c r="C76" s="67" t="s">
        <v>149</v>
      </c>
      <c r="D76" s="66" t="s">
        <v>102</v>
      </c>
      <c r="E76" s="68" t="n">
        <v>1</v>
      </c>
      <c r="F76" s="68"/>
      <c r="G76" s="69"/>
      <c r="H76" s="69" t="n">
        <f aca="false">F76+G76</f>
        <v>0</v>
      </c>
      <c r="I76" s="69" t="n">
        <f aca="false">E76*H76</f>
        <v>0</v>
      </c>
      <c r="J76" s="71" t="s">
        <v>53</v>
      </c>
    </row>
    <row r="77" customFormat="false" ht="111" hidden="false" customHeight="true" outlineLevel="1" collapsed="false">
      <c r="A77" s="65" t="n">
        <v>70</v>
      </c>
      <c r="B77" s="66" t="s">
        <v>148</v>
      </c>
      <c r="C77" s="67" t="s">
        <v>150</v>
      </c>
      <c r="D77" s="66" t="s">
        <v>102</v>
      </c>
      <c r="E77" s="68" t="n">
        <v>1</v>
      </c>
      <c r="F77" s="68"/>
      <c r="G77" s="69"/>
      <c r="H77" s="69" t="n">
        <f aca="false">F77+G77</f>
        <v>0</v>
      </c>
      <c r="I77" s="69" t="n">
        <f aca="false">E77*H77</f>
        <v>0</v>
      </c>
      <c r="J77" s="71" t="s">
        <v>53</v>
      </c>
    </row>
    <row r="78" customFormat="false" ht="87.75" hidden="false" customHeight="true" outlineLevel="1" collapsed="false">
      <c r="A78" s="65" t="n">
        <v>71</v>
      </c>
      <c r="B78" s="66" t="s">
        <v>151</v>
      </c>
      <c r="C78" s="67" t="s">
        <v>152</v>
      </c>
      <c r="D78" s="66" t="s">
        <v>32</v>
      </c>
      <c r="E78" s="68" t="n">
        <v>6</v>
      </c>
      <c r="F78" s="68"/>
      <c r="G78" s="69"/>
      <c r="H78" s="69" t="n">
        <f aca="false">F78+G78</f>
        <v>0</v>
      </c>
      <c r="I78" s="69" t="n">
        <f aca="false">E78*H78</f>
        <v>0</v>
      </c>
      <c r="J78" s="97"/>
    </row>
    <row r="79" customFormat="false" ht="87.75" hidden="false" customHeight="true" outlineLevel="1" collapsed="false">
      <c r="A79" s="65" t="n">
        <v>72</v>
      </c>
      <c r="B79" s="66" t="s">
        <v>153</v>
      </c>
      <c r="C79" s="67" t="s">
        <v>154</v>
      </c>
      <c r="D79" s="66" t="s">
        <v>155</v>
      </c>
      <c r="E79" s="68" t="n">
        <v>14</v>
      </c>
      <c r="F79" s="68"/>
      <c r="G79" s="69"/>
      <c r="H79" s="69" t="n">
        <f aca="false">F79+G79</f>
        <v>0</v>
      </c>
      <c r="I79" s="69" t="n">
        <f aca="false">E79*H79</f>
        <v>0</v>
      </c>
      <c r="J79" s="71" t="s">
        <v>156</v>
      </c>
      <c r="K79" s="85"/>
    </row>
    <row r="80" customFormat="false" ht="99" hidden="false" customHeight="true" outlineLevel="1" collapsed="false">
      <c r="A80" s="65" t="n">
        <v>73</v>
      </c>
      <c r="B80" s="66" t="s">
        <v>157</v>
      </c>
      <c r="C80" s="67" t="s">
        <v>158</v>
      </c>
      <c r="D80" s="66" t="s">
        <v>159</v>
      </c>
      <c r="E80" s="68" t="n">
        <v>16</v>
      </c>
      <c r="F80" s="68"/>
      <c r="G80" s="69"/>
      <c r="H80" s="69" t="n">
        <f aca="false">F80+G80</f>
        <v>0</v>
      </c>
      <c r="I80" s="69" t="n">
        <f aca="false">E80*H80</f>
        <v>0</v>
      </c>
      <c r="J80" s="71" t="s">
        <v>156</v>
      </c>
      <c r="K80" s="85"/>
    </row>
    <row r="81" customFormat="false" ht="99" hidden="false" customHeight="true" outlineLevel="1" collapsed="false">
      <c r="A81" s="65" t="n">
        <v>74</v>
      </c>
      <c r="B81" s="66" t="s">
        <v>157</v>
      </c>
      <c r="C81" s="67" t="s">
        <v>160</v>
      </c>
      <c r="D81" s="66" t="s">
        <v>159</v>
      </c>
      <c r="E81" s="68" t="n">
        <v>22</v>
      </c>
      <c r="F81" s="68"/>
      <c r="G81" s="69"/>
      <c r="H81" s="69" t="n">
        <f aca="false">F81+G81</f>
        <v>0</v>
      </c>
      <c r="I81" s="69" t="n">
        <f aca="false">E81*H81</f>
        <v>0</v>
      </c>
      <c r="J81" s="71" t="s">
        <v>156</v>
      </c>
      <c r="K81" s="85"/>
    </row>
    <row r="82" customFormat="false" ht="64.5" hidden="false" customHeight="true" outlineLevel="1" collapsed="false">
      <c r="A82" s="65" t="n">
        <v>75</v>
      </c>
      <c r="B82" s="66" t="s">
        <v>161</v>
      </c>
      <c r="C82" s="67" t="s">
        <v>162</v>
      </c>
      <c r="D82" s="66" t="s">
        <v>163</v>
      </c>
      <c r="E82" s="68" t="n">
        <v>1</v>
      </c>
      <c r="F82" s="68"/>
      <c r="G82" s="69"/>
      <c r="H82" s="69" t="n">
        <f aca="false">F82+G82</f>
        <v>0</v>
      </c>
      <c r="I82" s="69" t="n">
        <f aca="false">E82*H82</f>
        <v>0</v>
      </c>
      <c r="J82" s="71"/>
    </row>
    <row r="83" customFormat="false" ht="99" hidden="false" customHeight="true" outlineLevel="1" collapsed="false">
      <c r="A83" s="65" t="n">
        <v>76</v>
      </c>
      <c r="B83" s="98" t="s">
        <v>164</v>
      </c>
      <c r="C83" s="99" t="s">
        <v>165</v>
      </c>
      <c r="D83" s="66" t="s">
        <v>163</v>
      </c>
      <c r="E83" s="68" t="n">
        <v>1</v>
      </c>
      <c r="F83" s="68"/>
      <c r="G83" s="69"/>
      <c r="H83" s="69" t="n">
        <f aca="false">F83+G83</f>
        <v>0</v>
      </c>
      <c r="I83" s="69" t="n">
        <f aca="false">E83*H83</f>
        <v>0</v>
      </c>
      <c r="J83" s="83"/>
    </row>
    <row r="84" customFormat="false" ht="87.75" hidden="false" customHeight="true" outlineLevel="1" collapsed="false">
      <c r="A84" s="65" t="n">
        <v>77</v>
      </c>
      <c r="B84" s="98" t="s">
        <v>166</v>
      </c>
      <c r="C84" s="99" t="s">
        <v>167</v>
      </c>
      <c r="D84" s="66" t="s">
        <v>163</v>
      </c>
      <c r="E84" s="68" t="n">
        <v>1</v>
      </c>
      <c r="F84" s="68"/>
      <c r="G84" s="69"/>
      <c r="H84" s="69" t="n">
        <f aca="false">F84+G84</f>
        <v>0</v>
      </c>
      <c r="I84" s="69" t="n">
        <f aca="false">E84*H84</f>
        <v>0</v>
      </c>
      <c r="J84" s="83"/>
    </row>
    <row r="85" customFormat="false" ht="40.5" hidden="false" customHeight="true" outlineLevel="1" collapsed="false">
      <c r="A85" s="65" t="n">
        <v>78</v>
      </c>
      <c r="B85" s="98" t="s">
        <v>168</v>
      </c>
      <c r="C85" s="100" t="s">
        <v>169</v>
      </c>
      <c r="D85" s="66" t="s">
        <v>170</v>
      </c>
      <c r="E85" s="68" t="n">
        <v>1</v>
      </c>
      <c r="F85" s="68"/>
      <c r="G85" s="69"/>
      <c r="H85" s="69" t="n">
        <f aca="false">F85+G85</f>
        <v>0</v>
      </c>
      <c r="I85" s="69" t="n">
        <f aca="false">E85*H85</f>
        <v>0</v>
      </c>
      <c r="J85" s="101"/>
    </row>
    <row r="86" customFormat="false" ht="29.25" hidden="false" customHeight="true" outlineLevel="0" collapsed="false">
      <c r="A86" s="65"/>
      <c r="B86" s="79" t="s">
        <v>57</v>
      </c>
      <c r="C86" s="67"/>
      <c r="D86" s="86"/>
      <c r="E86" s="80"/>
      <c r="F86" s="80"/>
      <c r="G86" s="81"/>
      <c r="H86" s="82"/>
      <c r="I86" s="82" t="n">
        <f aca="false">SUM(I18:I85)</f>
        <v>0</v>
      </c>
      <c r="J86" s="101"/>
    </row>
    <row r="87" customFormat="false" ht="29.25" hidden="false" customHeight="true" outlineLevel="0" collapsed="false">
      <c r="A87" s="84" t="s">
        <v>171</v>
      </c>
      <c r="B87" s="79" t="s">
        <v>172</v>
      </c>
      <c r="C87" s="67"/>
      <c r="D87" s="86"/>
      <c r="E87" s="80"/>
      <c r="F87" s="80"/>
      <c r="G87" s="81"/>
      <c r="H87" s="82"/>
      <c r="I87" s="82"/>
      <c r="J87" s="101"/>
    </row>
    <row r="88" customFormat="false" ht="87.75" hidden="false" customHeight="true" outlineLevel="1" collapsed="false">
      <c r="A88" s="65" t="n">
        <v>79</v>
      </c>
      <c r="B88" s="66" t="s">
        <v>173</v>
      </c>
      <c r="C88" s="67" t="s">
        <v>174</v>
      </c>
      <c r="D88" s="66" t="s">
        <v>32</v>
      </c>
      <c r="E88" s="68" t="n">
        <v>3</v>
      </c>
      <c r="F88" s="68"/>
      <c r="G88" s="69"/>
      <c r="H88" s="69" t="n">
        <f aca="false">F88+G88</f>
        <v>0</v>
      </c>
      <c r="I88" s="69" t="n">
        <f aca="false">E88*H88</f>
        <v>0</v>
      </c>
      <c r="J88" s="71" t="s">
        <v>175</v>
      </c>
    </row>
    <row r="89" customFormat="false" ht="157.5" hidden="false" customHeight="true" outlineLevel="1" collapsed="false">
      <c r="A89" s="65" t="n">
        <v>80</v>
      </c>
      <c r="B89" s="66" t="s">
        <v>176</v>
      </c>
      <c r="C89" s="67" t="s">
        <v>177</v>
      </c>
      <c r="D89" s="66" t="s">
        <v>32</v>
      </c>
      <c r="E89" s="68" t="n">
        <v>1</v>
      </c>
      <c r="F89" s="68"/>
      <c r="G89" s="69"/>
      <c r="H89" s="69" t="n">
        <f aca="false">F89+G89</f>
        <v>0</v>
      </c>
      <c r="I89" s="69" t="n">
        <f aca="false">E89*H89</f>
        <v>0</v>
      </c>
      <c r="J89" s="71" t="s">
        <v>178</v>
      </c>
    </row>
    <row r="90" customFormat="false" ht="157.5" hidden="false" customHeight="true" outlineLevel="1" collapsed="false">
      <c r="A90" s="65" t="n">
        <v>81</v>
      </c>
      <c r="B90" s="66" t="s">
        <v>179</v>
      </c>
      <c r="C90" s="67" t="s">
        <v>180</v>
      </c>
      <c r="D90" s="66" t="s">
        <v>32</v>
      </c>
      <c r="E90" s="68" t="n">
        <v>1</v>
      </c>
      <c r="F90" s="68"/>
      <c r="G90" s="69"/>
      <c r="H90" s="69" t="n">
        <f aca="false">F90+G90</f>
        <v>0</v>
      </c>
      <c r="I90" s="69" t="n">
        <f aca="false">E90*H90</f>
        <v>0</v>
      </c>
      <c r="J90" s="71" t="s">
        <v>178</v>
      </c>
    </row>
    <row r="91" customFormat="false" ht="157.5" hidden="false" customHeight="true" outlineLevel="1" collapsed="false">
      <c r="A91" s="65" t="n">
        <v>82</v>
      </c>
      <c r="B91" s="66" t="s">
        <v>181</v>
      </c>
      <c r="C91" s="67" t="s">
        <v>182</v>
      </c>
      <c r="D91" s="66" t="s">
        <v>32</v>
      </c>
      <c r="E91" s="68" t="n">
        <v>1</v>
      </c>
      <c r="F91" s="68"/>
      <c r="G91" s="69"/>
      <c r="H91" s="69" t="n">
        <f aca="false">F91+G91</f>
        <v>0</v>
      </c>
      <c r="I91" s="69" t="n">
        <f aca="false">E91*H91</f>
        <v>0</v>
      </c>
      <c r="J91" s="71" t="s">
        <v>178</v>
      </c>
    </row>
    <row r="92" customFormat="false" ht="157.5" hidden="false" customHeight="true" outlineLevel="1" collapsed="false">
      <c r="A92" s="65" t="n">
        <v>83</v>
      </c>
      <c r="B92" s="66" t="s">
        <v>183</v>
      </c>
      <c r="C92" s="67" t="s">
        <v>184</v>
      </c>
      <c r="D92" s="66" t="s">
        <v>32</v>
      </c>
      <c r="E92" s="68" t="n">
        <v>1</v>
      </c>
      <c r="F92" s="68"/>
      <c r="G92" s="69"/>
      <c r="H92" s="69" t="n">
        <f aca="false">F92+G92</f>
        <v>0</v>
      </c>
      <c r="I92" s="69" t="n">
        <f aca="false">E92*H92</f>
        <v>0</v>
      </c>
      <c r="J92" s="71" t="s">
        <v>178</v>
      </c>
    </row>
    <row r="93" customFormat="false" ht="157.5" hidden="false" customHeight="true" outlineLevel="1" collapsed="false">
      <c r="A93" s="65" t="n">
        <v>84</v>
      </c>
      <c r="B93" s="66" t="s">
        <v>185</v>
      </c>
      <c r="C93" s="67" t="s">
        <v>186</v>
      </c>
      <c r="D93" s="66" t="s">
        <v>32</v>
      </c>
      <c r="E93" s="68" t="n">
        <v>1</v>
      </c>
      <c r="F93" s="68"/>
      <c r="G93" s="69"/>
      <c r="H93" s="69" t="n">
        <f aca="false">F93+G93</f>
        <v>0</v>
      </c>
      <c r="I93" s="69" t="n">
        <f aca="false">E93*H93</f>
        <v>0</v>
      </c>
      <c r="J93" s="71" t="s">
        <v>178</v>
      </c>
    </row>
    <row r="94" customFormat="false" ht="157.5" hidden="false" customHeight="true" outlineLevel="1" collapsed="false">
      <c r="A94" s="65" t="n">
        <v>85</v>
      </c>
      <c r="B94" s="66" t="s">
        <v>187</v>
      </c>
      <c r="C94" s="67" t="s">
        <v>188</v>
      </c>
      <c r="D94" s="66" t="s">
        <v>32</v>
      </c>
      <c r="E94" s="68" t="n">
        <v>1</v>
      </c>
      <c r="F94" s="68"/>
      <c r="G94" s="69"/>
      <c r="H94" s="69" t="n">
        <f aca="false">F94+G94</f>
        <v>0</v>
      </c>
      <c r="I94" s="69" t="n">
        <f aca="false">E94*H94</f>
        <v>0</v>
      </c>
      <c r="J94" s="71" t="s">
        <v>178</v>
      </c>
    </row>
    <row r="95" customFormat="false" ht="157.5" hidden="false" customHeight="true" outlineLevel="1" collapsed="false">
      <c r="A95" s="65" t="n">
        <v>86</v>
      </c>
      <c r="B95" s="66" t="s">
        <v>189</v>
      </c>
      <c r="C95" s="67" t="s">
        <v>190</v>
      </c>
      <c r="D95" s="66" t="s">
        <v>32</v>
      </c>
      <c r="E95" s="68" t="n">
        <v>1</v>
      </c>
      <c r="F95" s="68"/>
      <c r="G95" s="69"/>
      <c r="H95" s="69" t="n">
        <f aca="false">F95+G95</f>
        <v>0</v>
      </c>
      <c r="I95" s="69" t="n">
        <f aca="false">E95*H95</f>
        <v>0</v>
      </c>
      <c r="J95" s="71" t="s">
        <v>191</v>
      </c>
    </row>
    <row r="96" customFormat="false" ht="75.75" hidden="false" customHeight="true" outlineLevel="1" collapsed="false">
      <c r="A96" s="65" t="n">
        <v>87</v>
      </c>
      <c r="B96" s="66" t="s">
        <v>192</v>
      </c>
      <c r="C96" s="67" t="s">
        <v>193</v>
      </c>
      <c r="D96" s="86" t="s">
        <v>66</v>
      </c>
      <c r="E96" s="87" t="n">
        <v>129</v>
      </c>
      <c r="F96" s="87"/>
      <c r="G96" s="69"/>
      <c r="H96" s="69" t="n">
        <f aca="false">F96+G96</f>
        <v>0</v>
      </c>
      <c r="I96" s="69" t="n">
        <f aca="false">E96*H96</f>
        <v>0</v>
      </c>
      <c r="J96" s="71" t="s">
        <v>194</v>
      </c>
    </row>
    <row r="97" customFormat="false" ht="75.75" hidden="false" customHeight="true" outlineLevel="1" collapsed="false">
      <c r="A97" s="65" t="n">
        <v>88</v>
      </c>
      <c r="B97" s="66" t="s">
        <v>192</v>
      </c>
      <c r="C97" s="67" t="s">
        <v>195</v>
      </c>
      <c r="D97" s="86" t="s">
        <v>66</v>
      </c>
      <c r="E97" s="87" t="n">
        <v>213</v>
      </c>
      <c r="F97" s="87"/>
      <c r="G97" s="69"/>
      <c r="H97" s="69" t="n">
        <f aca="false">F97+G97</f>
        <v>0</v>
      </c>
      <c r="I97" s="69" t="n">
        <f aca="false">E97*H97</f>
        <v>0</v>
      </c>
      <c r="J97" s="71" t="s">
        <v>194</v>
      </c>
    </row>
    <row r="98" customFormat="false" ht="75.75" hidden="false" customHeight="true" outlineLevel="1" collapsed="false">
      <c r="A98" s="65" t="n">
        <v>89</v>
      </c>
      <c r="B98" s="66" t="s">
        <v>192</v>
      </c>
      <c r="C98" s="67" t="s">
        <v>196</v>
      </c>
      <c r="D98" s="86" t="s">
        <v>66</v>
      </c>
      <c r="E98" s="87" t="n">
        <v>542</v>
      </c>
      <c r="F98" s="87"/>
      <c r="G98" s="69"/>
      <c r="H98" s="69" t="n">
        <f aca="false">F98+G98</f>
        <v>0</v>
      </c>
      <c r="I98" s="69" t="n">
        <f aca="false">E98*H98</f>
        <v>0</v>
      </c>
      <c r="J98" s="71" t="s">
        <v>194</v>
      </c>
    </row>
    <row r="99" customFormat="false" ht="75.75" hidden="false" customHeight="true" outlineLevel="1" collapsed="false">
      <c r="A99" s="65" t="n">
        <v>90</v>
      </c>
      <c r="B99" s="66" t="s">
        <v>192</v>
      </c>
      <c r="C99" s="67" t="s">
        <v>197</v>
      </c>
      <c r="D99" s="86" t="s">
        <v>66</v>
      </c>
      <c r="E99" s="87" t="n">
        <v>58</v>
      </c>
      <c r="F99" s="87"/>
      <c r="G99" s="69"/>
      <c r="H99" s="69" t="n">
        <f aca="false">F99+G99</f>
        <v>0</v>
      </c>
      <c r="I99" s="69" t="n">
        <f aca="false">E99*H99</f>
        <v>0</v>
      </c>
      <c r="J99" s="71" t="s">
        <v>194</v>
      </c>
    </row>
    <row r="100" customFormat="false" ht="75.75" hidden="false" customHeight="true" outlineLevel="1" collapsed="false">
      <c r="A100" s="65" t="n">
        <v>91</v>
      </c>
      <c r="B100" s="66" t="s">
        <v>192</v>
      </c>
      <c r="C100" s="67" t="s">
        <v>198</v>
      </c>
      <c r="D100" s="86" t="s">
        <v>66</v>
      </c>
      <c r="E100" s="87" t="n">
        <v>884</v>
      </c>
      <c r="F100" s="87"/>
      <c r="G100" s="69"/>
      <c r="H100" s="69" t="n">
        <f aca="false">F100+G100</f>
        <v>0</v>
      </c>
      <c r="I100" s="69" t="n">
        <f aca="false">E100*H100</f>
        <v>0</v>
      </c>
      <c r="J100" s="71" t="s">
        <v>194</v>
      </c>
    </row>
    <row r="101" customFormat="false" ht="75.75" hidden="false" customHeight="true" outlineLevel="1" collapsed="false">
      <c r="A101" s="65" t="n">
        <v>92</v>
      </c>
      <c r="B101" s="66" t="s">
        <v>192</v>
      </c>
      <c r="C101" s="67" t="s">
        <v>199</v>
      </c>
      <c r="D101" s="86" t="s">
        <v>66</v>
      </c>
      <c r="E101" s="87" t="n">
        <v>87</v>
      </c>
      <c r="F101" s="87"/>
      <c r="G101" s="69"/>
      <c r="H101" s="69" t="n">
        <f aca="false">F101+G101</f>
        <v>0</v>
      </c>
      <c r="I101" s="69" t="n">
        <f aca="false">E101*H101</f>
        <v>0</v>
      </c>
      <c r="J101" s="71" t="s">
        <v>194</v>
      </c>
    </row>
    <row r="102" customFormat="false" ht="75.75" hidden="false" customHeight="true" outlineLevel="1" collapsed="false">
      <c r="A102" s="65" t="n">
        <v>93</v>
      </c>
      <c r="B102" s="66" t="s">
        <v>200</v>
      </c>
      <c r="C102" s="67" t="s">
        <v>201</v>
      </c>
      <c r="D102" s="86" t="s">
        <v>66</v>
      </c>
      <c r="E102" s="87" t="n">
        <v>1031</v>
      </c>
      <c r="F102" s="87"/>
      <c r="G102" s="69"/>
      <c r="H102" s="69" t="n">
        <f aca="false">F102+G102</f>
        <v>0</v>
      </c>
      <c r="I102" s="69" t="n">
        <f aca="false">E102*H102</f>
        <v>0</v>
      </c>
      <c r="J102" s="71" t="s">
        <v>194</v>
      </c>
    </row>
    <row r="103" customFormat="false" ht="99" hidden="false" customHeight="true" outlineLevel="1" collapsed="false">
      <c r="A103" s="65" t="n">
        <v>94</v>
      </c>
      <c r="B103" s="66" t="s">
        <v>202</v>
      </c>
      <c r="C103" s="67" t="s">
        <v>203</v>
      </c>
      <c r="D103" s="86" t="s">
        <v>66</v>
      </c>
      <c r="E103" s="87" t="n">
        <v>10</v>
      </c>
      <c r="F103" s="87"/>
      <c r="G103" s="69"/>
      <c r="H103" s="69" t="n">
        <f aca="false">F103+G103</f>
        <v>0</v>
      </c>
      <c r="I103" s="69" t="n">
        <f aca="false">E103*H103</f>
        <v>0</v>
      </c>
      <c r="J103" s="71" t="s">
        <v>53</v>
      </c>
    </row>
    <row r="104" customFormat="false" ht="99" hidden="false" customHeight="true" outlineLevel="1" collapsed="false">
      <c r="A104" s="65" t="n">
        <v>95</v>
      </c>
      <c r="B104" s="66" t="s">
        <v>202</v>
      </c>
      <c r="C104" s="67" t="s">
        <v>204</v>
      </c>
      <c r="D104" s="86" t="s">
        <v>66</v>
      </c>
      <c r="E104" s="87" t="n">
        <v>18</v>
      </c>
      <c r="F104" s="87"/>
      <c r="G104" s="69"/>
      <c r="H104" s="69" t="n">
        <f aca="false">F104+G104</f>
        <v>0</v>
      </c>
      <c r="I104" s="69" t="n">
        <f aca="false">E104*H104</f>
        <v>0</v>
      </c>
      <c r="J104" s="71" t="s">
        <v>53</v>
      </c>
    </row>
    <row r="105" customFormat="false" ht="99" hidden="false" customHeight="true" outlineLevel="1" collapsed="false">
      <c r="A105" s="65" t="n">
        <v>96</v>
      </c>
      <c r="B105" s="66" t="s">
        <v>202</v>
      </c>
      <c r="C105" s="67" t="s">
        <v>205</v>
      </c>
      <c r="D105" s="86" t="s">
        <v>66</v>
      </c>
      <c r="E105" s="87" t="n">
        <v>52</v>
      </c>
      <c r="F105" s="87"/>
      <c r="G105" s="69"/>
      <c r="H105" s="69" t="n">
        <f aca="false">F105+G105</f>
        <v>0</v>
      </c>
      <c r="I105" s="69" t="n">
        <f aca="false">E105*H105</f>
        <v>0</v>
      </c>
      <c r="J105" s="71" t="s">
        <v>53</v>
      </c>
    </row>
    <row r="106" customFormat="false" ht="99" hidden="false" customHeight="true" outlineLevel="1" collapsed="false">
      <c r="A106" s="65" t="n">
        <v>97</v>
      </c>
      <c r="B106" s="66" t="s">
        <v>202</v>
      </c>
      <c r="C106" s="67" t="s">
        <v>206</v>
      </c>
      <c r="D106" s="86" t="s">
        <v>66</v>
      </c>
      <c r="E106" s="87" t="n">
        <v>42</v>
      </c>
      <c r="F106" s="87"/>
      <c r="G106" s="69"/>
      <c r="H106" s="69" t="n">
        <f aca="false">F106+G106</f>
        <v>0</v>
      </c>
      <c r="I106" s="69" t="n">
        <f aca="false">E106*H106</f>
        <v>0</v>
      </c>
      <c r="J106" s="71" t="s">
        <v>53</v>
      </c>
    </row>
    <row r="107" customFormat="false" ht="99" hidden="false" customHeight="true" outlineLevel="1" collapsed="false">
      <c r="A107" s="65" t="n">
        <v>98</v>
      </c>
      <c r="B107" s="66" t="s">
        <v>202</v>
      </c>
      <c r="C107" s="67" t="s">
        <v>207</v>
      </c>
      <c r="D107" s="86" t="s">
        <v>66</v>
      </c>
      <c r="E107" s="87" t="n">
        <v>34</v>
      </c>
      <c r="F107" s="87"/>
      <c r="G107" s="69"/>
      <c r="H107" s="69" t="n">
        <f aca="false">F107+G107</f>
        <v>0</v>
      </c>
      <c r="I107" s="69" t="n">
        <f aca="false">E107*H107</f>
        <v>0</v>
      </c>
      <c r="J107" s="71" t="s">
        <v>53</v>
      </c>
    </row>
    <row r="108" customFormat="false" ht="99" hidden="false" customHeight="true" outlineLevel="1" collapsed="false">
      <c r="A108" s="65" t="n">
        <v>99</v>
      </c>
      <c r="B108" s="88" t="s">
        <v>208</v>
      </c>
      <c r="C108" s="67" t="s">
        <v>209</v>
      </c>
      <c r="D108" s="86" t="s">
        <v>66</v>
      </c>
      <c r="E108" s="87" t="n">
        <v>72</v>
      </c>
      <c r="F108" s="87"/>
      <c r="G108" s="69"/>
      <c r="H108" s="69" t="n">
        <f aca="false">F108+G108</f>
        <v>0</v>
      </c>
      <c r="I108" s="69" t="n">
        <f aca="false">E108*H108</f>
        <v>0</v>
      </c>
      <c r="J108" s="71" t="s">
        <v>86</v>
      </c>
      <c r="K108" s="85"/>
    </row>
    <row r="109" customFormat="false" ht="99" hidden="false" customHeight="true" outlineLevel="1" collapsed="false">
      <c r="A109" s="65" t="n">
        <v>100</v>
      </c>
      <c r="B109" s="88" t="s">
        <v>208</v>
      </c>
      <c r="C109" s="67" t="s">
        <v>210</v>
      </c>
      <c r="D109" s="86" t="s">
        <v>66</v>
      </c>
      <c r="E109" s="87" t="n">
        <v>104</v>
      </c>
      <c r="F109" s="87"/>
      <c r="G109" s="69"/>
      <c r="H109" s="69" t="n">
        <f aca="false">F109+G109</f>
        <v>0</v>
      </c>
      <c r="I109" s="69" t="n">
        <f aca="false">E109*H109</f>
        <v>0</v>
      </c>
      <c r="J109" s="71" t="s">
        <v>86</v>
      </c>
      <c r="K109" s="85"/>
    </row>
    <row r="110" customFormat="false" ht="52.5" hidden="false" customHeight="true" outlineLevel="1" collapsed="false">
      <c r="A110" s="65" t="n">
        <v>101</v>
      </c>
      <c r="B110" s="66" t="s">
        <v>211</v>
      </c>
      <c r="C110" s="67" t="s">
        <v>212</v>
      </c>
      <c r="D110" s="86" t="s">
        <v>98</v>
      </c>
      <c r="E110" s="87" t="n">
        <v>610.7</v>
      </c>
      <c r="F110" s="87"/>
      <c r="G110" s="69"/>
      <c r="H110" s="69" t="n">
        <f aca="false">F110+G110</f>
        <v>0</v>
      </c>
      <c r="I110" s="69" t="n">
        <f aca="false">E110*H110</f>
        <v>0</v>
      </c>
      <c r="J110" s="71" t="s">
        <v>99</v>
      </c>
      <c r="K110" s="85"/>
    </row>
    <row r="111" customFormat="false" ht="40.5" hidden="false" customHeight="true" outlineLevel="1" collapsed="false">
      <c r="A111" s="65" t="n">
        <v>102</v>
      </c>
      <c r="B111" s="66" t="s">
        <v>213</v>
      </c>
      <c r="C111" s="102" t="s">
        <v>214</v>
      </c>
      <c r="D111" s="66" t="s">
        <v>163</v>
      </c>
      <c r="E111" s="68" t="n">
        <v>1</v>
      </c>
      <c r="F111" s="68"/>
      <c r="G111" s="69"/>
      <c r="H111" s="69" t="n">
        <f aca="false">F111+G111</f>
        <v>0</v>
      </c>
      <c r="I111" s="69" t="n">
        <f aca="false">E111*H111</f>
        <v>0</v>
      </c>
      <c r="J111" s="71" t="s">
        <v>99</v>
      </c>
    </row>
    <row r="112" customFormat="false" ht="40.5" hidden="false" customHeight="true" outlineLevel="1" collapsed="false">
      <c r="A112" s="65" t="n">
        <v>103</v>
      </c>
      <c r="B112" s="66" t="s">
        <v>215</v>
      </c>
      <c r="C112" s="86"/>
      <c r="D112" s="66" t="s">
        <v>32</v>
      </c>
      <c r="E112" s="68" t="n">
        <v>3</v>
      </c>
      <c r="F112" s="68"/>
      <c r="G112" s="69"/>
      <c r="H112" s="69" t="n">
        <f aca="false">F112+G112</f>
        <v>0</v>
      </c>
      <c r="I112" s="69" t="n">
        <f aca="false">E112*H112</f>
        <v>0</v>
      </c>
      <c r="J112" s="71"/>
    </row>
    <row r="113" customFormat="false" ht="29.25" hidden="false" customHeight="true" outlineLevel="0" collapsed="false">
      <c r="A113" s="65"/>
      <c r="B113" s="79" t="s">
        <v>57</v>
      </c>
      <c r="C113" s="86"/>
      <c r="D113" s="86"/>
      <c r="E113" s="68"/>
      <c r="F113" s="68"/>
      <c r="G113" s="69"/>
      <c r="H113" s="82"/>
      <c r="I113" s="82" t="n">
        <f aca="false">SUM(I88:I112)</f>
        <v>0</v>
      </c>
      <c r="J113" s="83"/>
    </row>
    <row r="114" customFormat="false" ht="29.25" hidden="false" customHeight="true" outlineLevel="0" collapsed="false">
      <c r="A114" s="84" t="s">
        <v>216</v>
      </c>
      <c r="B114" s="79" t="s">
        <v>217</v>
      </c>
      <c r="C114" s="102"/>
      <c r="D114" s="86"/>
      <c r="E114" s="80"/>
      <c r="F114" s="80"/>
      <c r="G114" s="69"/>
      <c r="H114" s="82"/>
      <c r="I114" s="82"/>
      <c r="J114" s="103"/>
    </row>
    <row r="115" customFormat="false" ht="40.5" hidden="false" customHeight="true" outlineLevel="1" collapsed="false">
      <c r="A115" s="65" t="n">
        <v>104</v>
      </c>
      <c r="B115" s="66" t="s">
        <v>218</v>
      </c>
      <c r="C115" s="102"/>
      <c r="D115" s="66" t="s">
        <v>163</v>
      </c>
      <c r="E115" s="68" t="n">
        <v>1</v>
      </c>
      <c r="F115" s="68"/>
      <c r="G115" s="69"/>
      <c r="H115" s="69" t="n">
        <f aca="false">F115+G115</f>
        <v>0</v>
      </c>
      <c r="I115" s="69" t="n">
        <f aca="false">E115*H115</f>
        <v>0</v>
      </c>
      <c r="J115" s="71"/>
    </row>
    <row r="116" customFormat="false" ht="40.5" hidden="false" customHeight="true" outlineLevel="1" collapsed="false">
      <c r="A116" s="65" t="n">
        <v>105</v>
      </c>
      <c r="B116" s="66" t="s">
        <v>219</v>
      </c>
      <c r="C116" s="102"/>
      <c r="D116" s="66" t="s">
        <v>163</v>
      </c>
      <c r="E116" s="68" t="n">
        <v>1</v>
      </c>
      <c r="F116" s="68"/>
      <c r="G116" s="69"/>
      <c r="H116" s="69" t="n">
        <f aca="false">F116+G116</f>
        <v>0</v>
      </c>
      <c r="I116" s="69" t="n">
        <f aca="false">E116*H116</f>
        <v>0</v>
      </c>
      <c r="J116" s="71"/>
    </row>
    <row r="117" customFormat="false" ht="29.25" hidden="false" customHeight="true" outlineLevel="0" collapsed="false">
      <c r="A117" s="65"/>
      <c r="B117" s="79" t="s">
        <v>57</v>
      </c>
      <c r="C117" s="86"/>
      <c r="D117" s="86"/>
      <c r="E117" s="68"/>
      <c r="F117" s="68"/>
      <c r="G117" s="81"/>
      <c r="H117" s="82"/>
      <c r="I117" s="82" t="n">
        <f aca="false">SUM(I115:I116)</f>
        <v>0</v>
      </c>
      <c r="J117" s="71"/>
    </row>
    <row r="118" customFormat="false" ht="29.25" hidden="false" customHeight="true" outlineLevel="0" collapsed="false">
      <c r="A118" s="104" t="s">
        <v>220</v>
      </c>
      <c r="B118" s="104"/>
      <c r="C118" s="104"/>
      <c r="D118" s="105"/>
      <c r="E118" s="106"/>
      <c r="F118" s="106"/>
      <c r="G118" s="107"/>
      <c r="H118" s="108"/>
      <c r="I118" s="108" t="n">
        <f aca="false">I16+I86+I113+I117</f>
        <v>0</v>
      </c>
      <c r="J118" s="109"/>
    </row>
  </sheetData>
  <mergeCells count="13">
    <mergeCell ref="A1:J1"/>
    <mergeCell ref="A2:J2"/>
    <mergeCell ref="K2:L2"/>
    <mergeCell ref="A3:A4"/>
    <mergeCell ref="B3:B4"/>
    <mergeCell ref="C3:C4"/>
    <mergeCell ref="D3:D4"/>
    <mergeCell ref="E3:E4"/>
    <mergeCell ref="F3:G3"/>
    <mergeCell ref="H3:H4"/>
    <mergeCell ref="I3:I4"/>
    <mergeCell ref="J3:J4"/>
    <mergeCell ref="A118:C118"/>
  </mergeCells>
  <printOptions headings="false" gridLines="false" gridLinesSet="true" horizontalCentered="false" verticalCentered="false"/>
  <pageMargins left="0.472222222222222" right="0.393055555555556" top="0.590277777777778" bottom="0.589583333333333" header="0.511811023622047" footer="0.118055555555556"/>
  <pageSetup paperSize="9" scale="100" fitToWidth="1" fitToHeight="0" pageOrder="downThenOver" orientation="portrait" blackAndWhite="false" draft="false" cellComments="none" horizontalDpi="300" verticalDpi="300" copies="1"/>
  <headerFooter differentFirst="false" differentOddEven="false">
    <oddHeader/>
    <oddFooter>&amp;C第 &amp;P 页，共 &amp;N 页 / Trang &amp;P / &amp;N</oddFooter>
  </headerFooter>
  <rowBreaks count="1" manualBreakCount="1">
    <brk id="119"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1"/>
  <sheetViews>
    <sheetView showFormulas="false" showGridLines="true" showRowColHeaders="true" showZeros="true" rightToLeft="false" tabSelected="false" showOutlineSymbols="true" defaultGridColor="true" view="pageBreakPreview" topLeftCell="A1" colorId="64" zoomScale="115" zoomScaleNormal="100" zoomScalePageLayoutView="115" workbookViewId="0">
      <pane xSplit="0" ySplit="4" topLeftCell="A22" activePane="bottomLeft" state="frozen"/>
      <selection pane="topLeft" activeCell="A1" activeCellId="0" sqref="A1"/>
      <selection pane="bottomLeft" activeCell="G5" activeCellId="0" sqref="G5"/>
    </sheetView>
  </sheetViews>
  <sheetFormatPr defaultColWidth="12.00390625" defaultRowHeight="13.5" zeroHeight="false" outlineLevelRow="0" outlineLevelCol="0"/>
  <cols>
    <col collapsed="false" customWidth="true" hidden="false" outlineLevel="0" max="1" min="1" style="110" width="6.37"/>
    <col collapsed="false" customWidth="true" hidden="false" outlineLevel="0" max="2" min="2" style="111" width="24"/>
    <col collapsed="false" customWidth="true" hidden="false" outlineLevel="0" max="3" min="3" style="110" width="52"/>
    <col collapsed="false" customWidth="true" hidden="false" outlineLevel="0" max="4" min="4" style="110" width="8"/>
    <col collapsed="false" customWidth="true" hidden="false" outlineLevel="0" max="5" min="5" style="112" width="8.63"/>
    <col collapsed="false" customWidth="true" hidden="false" outlineLevel="0" max="6" min="6" style="113" width="14.55"/>
    <col collapsed="false" customWidth="true" hidden="false" outlineLevel="0" max="8" min="7" style="114" width="14.55"/>
    <col collapsed="false" customWidth="true" hidden="false" outlineLevel="0" max="9" min="9" style="113" width="14.55"/>
    <col collapsed="false" customWidth="true" hidden="false" outlineLevel="0" max="10" min="10" style="115" width="20"/>
    <col collapsed="false" customWidth="false" hidden="false" outlineLevel="0" max="11" min="11" style="2" width="12"/>
    <col collapsed="false" customWidth="false" hidden="false" outlineLevel="0" max="12" min="12" style="110" width="12"/>
    <col collapsed="false" customWidth="true" hidden="false" outlineLevel="0" max="13" min="13" style="110" width="13.33"/>
    <col collapsed="false" customWidth="false" hidden="false" outlineLevel="0" max="16384" min="14" style="110" width="12"/>
  </cols>
  <sheetData>
    <row r="1" customFormat="false" ht="57.75" hidden="false" customHeight="true" outlineLevel="0" collapsed="false">
      <c r="A1" s="116" t="s">
        <v>15</v>
      </c>
      <c r="B1" s="116"/>
      <c r="C1" s="116"/>
      <c r="D1" s="116"/>
      <c r="E1" s="116"/>
      <c r="F1" s="116"/>
      <c r="G1" s="116"/>
      <c r="H1" s="116"/>
      <c r="I1" s="116"/>
      <c r="J1" s="116"/>
    </row>
    <row r="2" customFormat="false" ht="29.25" hidden="false" customHeight="true" outlineLevel="0" collapsed="false">
      <c r="A2" s="117" t="s">
        <v>221</v>
      </c>
      <c r="B2" s="117"/>
      <c r="C2" s="117"/>
      <c r="D2" s="117"/>
      <c r="E2" s="117"/>
      <c r="F2" s="117"/>
      <c r="G2" s="117"/>
      <c r="H2" s="117"/>
      <c r="I2" s="117"/>
      <c r="J2" s="117"/>
      <c r="K2" s="118"/>
    </row>
    <row r="3" customFormat="false" ht="29.25" hidden="false" customHeight="true" outlineLevel="0" collapsed="false">
      <c r="A3" s="52" t="s">
        <v>17</v>
      </c>
      <c r="B3" s="53" t="s">
        <v>18</v>
      </c>
      <c r="C3" s="53" t="s">
        <v>19</v>
      </c>
      <c r="D3" s="53" t="s">
        <v>20</v>
      </c>
      <c r="E3" s="54" t="s">
        <v>21</v>
      </c>
      <c r="F3" s="54" t="s">
        <v>22</v>
      </c>
      <c r="G3" s="54"/>
      <c r="H3" s="55" t="s">
        <v>23</v>
      </c>
      <c r="I3" s="56" t="s">
        <v>24</v>
      </c>
      <c r="J3" s="119" t="s">
        <v>25</v>
      </c>
      <c r="K3" s="118"/>
    </row>
    <row r="4" customFormat="false" ht="40.5" hidden="false" customHeight="true" outlineLevel="0" collapsed="false">
      <c r="A4" s="52"/>
      <c r="B4" s="53"/>
      <c r="C4" s="53"/>
      <c r="D4" s="53"/>
      <c r="E4" s="53"/>
      <c r="F4" s="58" t="s">
        <v>26</v>
      </c>
      <c r="G4" s="120" t="s">
        <v>27</v>
      </c>
      <c r="H4" s="55"/>
      <c r="I4" s="55"/>
      <c r="J4" s="119"/>
      <c r="K4" s="118"/>
    </row>
    <row r="5" customFormat="false" ht="52.5" hidden="false" customHeight="true" outlineLevel="0" collapsed="false">
      <c r="A5" s="65" t="n">
        <v>1</v>
      </c>
      <c r="B5" s="121" t="s">
        <v>222</v>
      </c>
      <c r="C5" s="122" t="s">
        <v>223</v>
      </c>
      <c r="D5" s="123" t="s">
        <v>32</v>
      </c>
      <c r="E5" s="124" t="n">
        <v>1</v>
      </c>
      <c r="F5" s="96"/>
      <c r="G5" s="96"/>
      <c r="H5" s="96" t="n">
        <f aca="false">F5+G5</f>
        <v>0</v>
      </c>
      <c r="I5" s="96" t="n">
        <f aca="false">E5*H5</f>
        <v>0</v>
      </c>
      <c r="J5" s="125" t="s">
        <v>224</v>
      </c>
    </row>
    <row r="6" customFormat="false" ht="29.25" hidden="false" customHeight="true" outlineLevel="0" collapsed="false">
      <c r="A6" s="65" t="n">
        <v>2</v>
      </c>
      <c r="B6" s="126" t="s">
        <v>225</v>
      </c>
      <c r="C6" s="127" t="s">
        <v>226</v>
      </c>
      <c r="D6" s="123" t="s">
        <v>32</v>
      </c>
      <c r="E6" s="124" t="n">
        <v>1</v>
      </c>
      <c r="F6" s="96"/>
      <c r="G6" s="96"/>
      <c r="H6" s="96" t="n">
        <f aca="false">F6+G6</f>
        <v>0</v>
      </c>
      <c r="I6" s="96" t="n">
        <f aca="false">E6*H6</f>
        <v>0</v>
      </c>
      <c r="J6" s="125"/>
    </row>
    <row r="7" customFormat="false" ht="169.5" hidden="false" customHeight="true" outlineLevel="0" collapsed="false">
      <c r="A7" s="65" t="n">
        <v>3</v>
      </c>
      <c r="B7" s="126" t="s">
        <v>227</v>
      </c>
      <c r="C7" s="128" t="s">
        <v>228</v>
      </c>
      <c r="D7" s="123" t="s">
        <v>32</v>
      </c>
      <c r="E7" s="124" t="n">
        <v>1</v>
      </c>
      <c r="F7" s="96"/>
      <c r="G7" s="96"/>
      <c r="H7" s="96" t="n">
        <f aca="false">F7+G7</f>
        <v>0</v>
      </c>
      <c r="I7" s="96" t="n">
        <f aca="false">E7*H7</f>
        <v>0</v>
      </c>
      <c r="J7" s="129" t="s">
        <v>229</v>
      </c>
    </row>
    <row r="8" customFormat="false" ht="263.25" hidden="false" customHeight="true" outlineLevel="0" collapsed="false">
      <c r="A8" s="65" t="n">
        <v>4</v>
      </c>
      <c r="B8" s="121" t="s">
        <v>230</v>
      </c>
      <c r="C8" s="128" t="s">
        <v>231</v>
      </c>
      <c r="D8" s="123" t="s">
        <v>232</v>
      </c>
      <c r="E8" s="124" t="n">
        <v>1</v>
      </c>
      <c r="F8" s="96"/>
      <c r="G8" s="96"/>
      <c r="H8" s="96" t="n">
        <f aca="false">F8+G8</f>
        <v>0</v>
      </c>
      <c r="I8" s="96" t="n">
        <f aca="false">E8*H8</f>
        <v>0</v>
      </c>
      <c r="J8" s="125"/>
    </row>
    <row r="9" customFormat="false" ht="134.25" hidden="false" customHeight="true" outlineLevel="0" collapsed="false">
      <c r="A9" s="65" t="n">
        <v>5</v>
      </c>
      <c r="B9" s="121" t="s">
        <v>233</v>
      </c>
      <c r="C9" s="128" t="s">
        <v>234</v>
      </c>
      <c r="D9" s="123" t="s">
        <v>232</v>
      </c>
      <c r="E9" s="124" t="n">
        <v>1</v>
      </c>
      <c r="F9" s="96"/>
      <c r="G9" s="96"/>
      <c r="H9" s="96" t="n">
        <f aca="false">F9+G9</f>
        <v>0</v>
      </c>
      <c r="I9" s="96" t="n">
        <f aca="false">E9*H9</f>
        <v>0</v>
      </c>
      <c r="J9" s="125"/>
    </row>
    <row r="10" customFormat="false" ht="52.5" hidden="false" customHeight="true" outlineLevel="0" collapsed="false">
      <c r="A10" s="65" t="n">
        <v>6</v>
      </c>
      <c r="B10" s="121" t="s">
        <v>235</v>
      </c>
      <c r="C10" s="122" t="s">
        <v>236</v>
      </c>
      <c r="D10" s="123" t="s">
        <v>163</v>
      </c>
      <c r="E10" s="124" t="n">
        <v>1</v>
      </c>
      <c r="F10" s="96"/>
      <c r="G10" s="96"/>
      <c r="H10" s="96" t="n">
        <f aca="false">F10+G10</f>
        <v>0</v>
      </c>
      <c r="I10" s="96" t="n">
        <f aca="false">E10*H10</f>
        <v>0</v>
      </c>
      <c r="J10" s="125"/>
    </row>
    <row r="11" customFormat="false" ht="123" hidden="false" customHeight="true" outlineLevel="0" collapsed="false">
      <c r="A11" s="65" t="n">
        <v>7</v>
      </c>
      <c r="B11" s="121" t="s">
        <v>237</v>
      </c>
      <c r="C11" s="128" t="s">
        <v>238</v>
      </c>
      <c r="D11" s="123" t="s">
        <v>102</v>
      </c>
      <c r="E11" s="124" t="n">
        <v>1</v>
      </c>
      <c r="F11" s="96"/>
      <c r="G11" s="96"/>
      <c r="H11" s="96" t="n">
        <f aca="false">F11+G11</f>
        <v>0</v>
      </c>
      <c r="I11" s="96" t="n">
        <f aca="false">E11*H11</f>
        <v>0</v>
      </c>
      <c r="J11" s="125"/>
    </row>
    <row r="12" customFormat="false" ht="146.25" hidden="false" customHeight="true" outlineLevel="0" collapsed="false">
      <c r="A12" s="65" t="n">
        <v>8</v>
      </c>
      <c r="B12" s="121" t="s">
        <v>239</v>
      </c>
      <c r="C12" s="128" t="s">
        <v>240</v>
      </c>
      <c r="D12" s="123" t="s">
        <v>102</v>
      </c>
      <c r="E12" s="124" t="n">
        <v>6</v>
      </c>
      <c r="F12" s="96"/>
      <c r="G12" s="96"/>
      <c r="H12" s="96" t="n">
        <f aca="false">F12+G12</f>
        <v>0</v>
      </c>
      <c r="I12" s="96" t="n">
        <f aca="false">E12*H12</f>
        <v>0</v>
      </c>
      <c r="J12" s="125"/>
    </row>
    <row r="13" customFormat="false" ht="146.25" hidden="false" customHeight="true" outlineLevel="0" collapsed="false">
      <c r="A13" s="65" t="n">
        <v>9</v>
      </c>
      <c r="B13" s="121" t="s">
        <v>241</v>
      </c>
      <c r="C13" s="130" t="s">
        <v>242</v>
      </c>
      <c r="D13" s="121" t="s">
        <v>102</v>
      </c>
      <c r="E13" s="124" t="n">
        <v>16</v>
      </c>
      <c r="F13" s="96"/>
      <c r="G13" s="96"/>
      <c r="H13" s="96" t="n">
        <f aca="false">F13+G13</f>
        <v>0</v>
      </c>
      <c r="I13" s="96" t="n">
        <f aca="false">E13*H13</f>
        <v>0</v>
      </c>
      <c r="J13" s="125"/>
    </row>
    <row r="14" customFormat="false" ht="99" hidden="false" customHeight="true" outlineLevel="0" collapsed="false">
      <c r="A14" s="65" t="n">
        <v>10</v>
      </c>
      <c r="B14" s="121" t="s">
        <v>243</v>
      </c>
      <c r="C14" s="128" t="s">
        <v>244</v>
      </c>
      <c r="D14" s="123" t="s">
        <v>102</v>
      </c>
      <c r="E14" s="131" t="n">
        <v>7</v>
      </c>
      <c r="F14" s="96"/>
      <c r="G14" s="96"/>
      <c r="H14" s="96" t="n">
        <f aca="false">F14+G14</f>
        <v>0</v>
      </c>
      <c r="I14" s="96" t="n">
        <f aca="false">E14*H14</f>
        <v>0</v>
      </c>
      <c r="J14" s="132"/>
    </row>
    <row r="15" customFormat="false" ht="192.75" hidden="false" customHeight="true" outlineLevel="0" collapsed="false">
      <c r="A15" s="65" t="n">
        <v>11</v>
      </c>
      <c r="B15" s="121" t="s">
        <v>245</v>
      </c>
      <c r="C15" s="128" t="s">
        <v>246</v>
      </c>
      <c r="D15" s="123" t="s">
        <v>32</v>
      </c>
      <c r="E15" s="131" t="n">
        <v>3</v>
      </c>
      <c r="F15" s="96"/>
      <c r="G15" s="96"/>
      <c r="H15" s="96" t="n">
        <f aca="false">F15+G15</f>
        <v>0</v>
      </c>
      <c r="I15" s="96" t="n">
        <f aca="false">E15*H15</f>
        <v>0</v>
      </c>
      <c r="J15" s="132"/>
    </row>
    <row r="16" customFormat="false" ht="192.75" hidden="false" customHeight="true" outlineLevel="0" collapsed="false">
      <c r="A16" s="65" t="n">
        <v>12</v>
      </c>
      <c r="B16" s="121" t="s">
        <v>245</v>
      </c>
      <c r="C16" s="128" t="s">
        <v>247</v>
      </c>
      <c r="D16" s="123" t="s">
        <v>32</v>
      </c>
      <c r="E16" s="131" t="n">
        <v>1</v>
      </c>
      <c r="F16" s="96"/>
      <c r="G16" s="96"/>
      <c r="H16" s="96" t="n">
        <f aca="false">F16+G16</f>
        <v>0</v>
      </c>
      <c r="I16" s="96" t="n">
        <f aca="false">E16*H16</f>
        <v>0</v>
      </c>
      <c r="J16" s="133"/>
    </row>
    <row r="17" customFormat="false" ht="52.5" hidden="false" customHeight="true" outlineLevel="0" collapsed="false">
      <c r="A17" s="65" t="n">
        <v>13</v>
      </c>
      <c r="B17" s="121" t="s">
        <v>248</v>
      </c>
      <c r="C17" s="128" t="s">
        <v>249</v>
      </c>
      <c r="D17" s="123" t="s">
        <v>102</v>
      </c>
      <c r="E17" s="131" t="n">
        <v>3</v>
      </c>
      <c r="F17" s="96"/>
      <c r="G17" s="96"/>
      <c r="H17" s="96" t="n">
        <f aca="false">F17+G17</f>
        <v>0</v>
      </c>
      <c r="I17" s="96" t="n">
        <f aca="false">E17*H17</f>
        <v>0</v>
      </c>
      <c r="J17" s="134" t="s">
        <v>103</v>
      </c>
    </row>
    <row r="18" customFormat="false" ht="75.75" hidden="false" customHeight="true" outlineLevel="0" collapsed="false">
      <c r="A18" s="65" t="n">
        <v>14</v>
      </c>
      <c r="B18" s="121" t="s">
        <v>200</v>
      </c>
      <c r="C18" s="128" t="s">
        <v>250</v>
      </c>
      <c r="D18" s="135" t="s">
        <v>66</v>
      </c>
      <c r="E18" s="136" t="n">
        <v>43</v>
      </c>
      <c r="F18" s="96"/>
      <c r="G18" s="96"/>
      <c r="H18" s="96" t="n">
        <f aca="false">F18+G18</f>
        <v>0</v>
      </c>
      <c r="I18" s="96" t="n">
        <f aca="false">E18*H18</f>
        <v>0</v>
      </c>
      <c r="J18" s="134" t="s">
        <v>194</v>
      </c>
    </row>
    <row r="19" customFormat="false" ht="75.75" hidden="false" customHeight="true" outlineLevel="0" collapsed="false">
      <c r="A19" s="65" t="n">
        <v>15</v>
      </c>
      <c r="B19" s="121" t="s">
        <v>200</v>
      </c>
      <c r="C19" s="128" t="s">
        <v>251</v>
      </c>
      <c r="D19" s="135" t="s">
        <v>66</v>
      </c>
      <c r="E19" s="136" t="n">
        <v>1155</v>
      </c>
      <c r="F19" s="96"/>
      <c r="G19" s="96"/>
      <c r="H19" s="96" t="n">
        <f aca="false">F19+G19</f>
        <v>0</v>
      </c>
      <c r="I19" s="96" t="n">
        <f aca="false">E19*H19</f>
        <v>0</v>
      </c>
      <c r="J19" s="134" t="s">
        <v>194</v>
      </c>
    </row>
    <row r="20" customFormat="false" ht="75.75" hidden="false" customHeight="true" outlineLevel="0" collapsed="false">
      <c r="A20" s="65" t="n">
        <v>16</v>
      </c>
      <c r="B20" s="121" t="s">
        <v>200</v>
      </c>
      <c r="C20" s="128" t="s">
        <v>252</v>
      </c>
      <c r="D20" s="135" t="s">
        <v>66</v>
      </c>
      <c r="E20" s="136" t="n">
        <v>205</v>
      </c>
      <c r="F20" s="96"/>
      <c r="G20" s="96"/>
      <c r="H20" s="96" t="n">
        <f aca="false">F20+G20</f>
        <v>0</v>
      </c>
      <c r="I20" s="96" t="n">
        <f aca="false">E20*H20</f>
        <v>0</v>
      </c>
      <c r="J20" s="134" t="s">
        <v>194</v>
      </c>
    </row>
    <row r="21" customFormat="false" ht="75.75" hidden="false" customHeight="true" outlineLevel="0" collapsed="false">
      <c r="A21" s="65" t="n">
        <v>17</v>
      </c>
      <c r="B21" s="121" t="s">
        <v>200</v>
      </c>
      <c r="C21" s="128" t="s">
        <v>253</v>
      </c>
      <c r="D21" s="135" t="s">
        <v>66</v>
      </c>
      <c r="E21" s="136" t="n">
        <v>80</v>
      </c>
      <c r="F21" s="96"/>
      <c r="G21" s="96"/>
      <c r="H21" s="96" t="n">
        <f aca="false">F21+G21</f>
        <v>0</v>
      </c>
      <c r="I21" s="96" t="n">
        <f aca="false">E21*H21</f>
        <v>0</v>
      </c>
      <c r="J21" s="134" t="s">
        <v>194</v>
      </c>
    </row>
    <row r="22" customFormat="false" ht="75.75" hidden="false" customHeight="true" outlineLevel="0" collapsed="false">
      <c r="A22" s="65" t="n">
        <v>18</v>
      </c>
      <c r="B22" s="121" t="s">
        <v>200</v>
      </c>
      <c r="C22" s="128" t="s">
        <v>254</v>
      </c>
      <c r="D22" s="135" t="s">
        <v>66</v>
      </c>
      <c r="E22" s="136" t="n">
        <v>286</v>
      </c>
      <c r="F22" s="96"/>
      <c r="G22" s="96"/>
      <c r="H22" s="96" t="n">
        <f aca="false">F22+G22</f>
        <v>0</v>
      </c>
      <c r="I22" s="96" t="n">
        <f aca="false">E22*H22</f>
        <v>0</v>
      </c>
      <c r="J22" s="134" t="s">
        <v>194</v>
      </c>
    </row>
    <row r="23" customFormat="false" ht="75.75" hidden="false" customHeight="true" outlineLevel="0" collapsed="false">
      <c r="A23" s="65" t="n">
        <v>19</v>
      </c>
      <c r="B23" s="121" t="s">
        <v>200</v>
      </c>
      <c r="C23" s="128" t="s">
        <v>255</v>
      </c>
      <c r="D23" s="135" t="s">
        <v>66</v>
      </c>
      <c r="E23" s="136" t="n">
        <v>1291</v>
      </c>
      <c r="F23" s="96"/>
      <c r="G23" s="96"/>
      <c r="H23" s="96" t="n">
        <f aca="false">F23+G23</f>
        <v>0</v>
      </c>
      <c r="I23" s="96" t="n">
        <f aca="false">E23*H23</f>
        <v>0</v>
      </c>
      <c r="J23" s="134" t="s">
        <v>194</v>
      </c>
    </row>
    <row r="24" customFormat="false" ht="75.75" hidden="false" customHeight="true" outlineLevel="0" collapsed="false">
      <c r="A24" s="65" t="n">
        <v>20</v>
      </c>
      <c r="B24" s="121" t="s">
        <v>256</v>
      </c>
      <c r="C24" s="128" t="s">
        <v>257</v>
      </c>
      <c r="D24" s="135" t="s">
        <v>66</v>
      </c>
      <c r="E24" s="137" t="n">
        <v>475</v>
      </c>
      <c r="F24" s="96"/>
      <c r="G24" s="96"/>
      <c r="H24" s="96" t="n">
        <f aca="false">F24+G24</f>
        <v>0</v>
      </c>
      <c r="I24" s="96" t="n">
        <f aca="false">E24*H24</f>
        <v>0</v>
      </c>
      <c r="J24" s="134" t="s">
        <v>194</v>
      </c>
    </row>
    <row r="25" customFormat="false" ht="52.5" hidden="false" customHeight="true" outlineLevel="0" collapsed="false">
      <c r="A25" s="65" t="n">
        <v>21</v>
      </c>
      <c r="B25" s="121" t="s">
        <v>258</v>
      </c>
      <c r="C25" s="130" t="s">
        <v>259</v>
      </c>
      <c r="D25" s="138" t="s">
        <v>66</v>
      </c>
      <c r="E25" s="137" t="n">
        <v>150</v>
      </c>
      <c r="F25" s="96"/>
      <c r="G25" s="96"/>
      <c r="H25" s="96" t="n">
        <f aca="false">F25+G25</f>
        <v>0</v>
      </c>
      <c r="I25" s="96" t="n">
        <f aca="false">E25*H25</f>
        <v>0</v>
      </c>
      <c r="J25" s="125" t="s">
        <v>53</v>
      </c>
    </row>
    <row r="26" customFormat="false" ht="99" hidden="false" customHeight="true" outlineLevel="0" collapsed="false">
      <c r="A26" s="65" t="n">
        <v>22</v>
      </c>
      <c r="B26" s="121" t="s">
        <v>202</v>
      </c>
      <c r="C26" s="128" t="s">
        <v>206</v>
      </c>
      <c r="D26" s="138" t="s">
        <v>66</v>
      </c>
      <c r="E26" s="137" t="n">
        <v>20</v>
      </c>
      <c r="F26" s="96"/>
      <c r="G26" s="96"/>
      <c r="H26" s="96" t="n">
        <f aca="false">F26+G26</f>
        <v>0</v>
      </c>
      <c r="I26" s="96" t="n">
        <f aca="false">E26*H26</f>
        <v>0</v>
      </c>
      <c r="J26" s="125" t="s">
        <v>53</v>
      </c>
    </row>
    <row r="27" customFormat="false" ht="99" hidden="false" customHeight="true" outlineLevel="0" collapsed="false">
      <c r="A27" s="65" t="n">
        <v>23</v>
      </c>
      <c r="B27" s="121" t="s">
        <v>202</v>
      </c>
      <c r="C27" s="128" t="s">
        <v>260</v>
      </c>
      <c r="D27" s="138" t="s">
        <v>66</v>
      </c>
      <c r="E27" s="137" t="n">
        <v>76</v>
      </c>
      <c r="F27" s="96"/>
      <c r="G27" s="96"/>
      <c r="H27" s="96" t="n">
        <f aca="false">F27+G27</f>
        <v>0</v>
      </c>
      <c r="I27" s="96" t="n">
        <f aca="false">E27*H27</f>
        <v>0</v>
      </c>
      <c r="J27" s="125" t="s">
        <v>53</v>
      </c>
    </row>
    <row r="28" customFormat="false" ht="99" hidden="false" customHeight="true" outlineLevel="0" collapsed="false">
      <c r="A28" s="65" t="n">
        <v>24</v>
      </c>
      <c r="B28" s="126" t="s">
        <v>208</v>
      </c>
      <c r="C28" s="128" t="s">
        <v>261</v>
      </c>
      <c r="D28" s="138" t="s">
        <v>66</v>
      </c>
      <c r="E28" s="137" t="n">
        <v>282</v>
      </c>
      <c r="F28" s="96"/>
      <c r="G28" s="96"/>
      <c r="H28" s="96" t="n">
        <f aca="false">F28+G28</f>
        <v>0</v>
      </c>
      <c r="I28" s="96" t="n">
        <f aca="false">E28*H28</f>
        <v>0</v>
      </c>
      <c r="J28" s="125" t="s">
        <v>86</v>
      </c>
    </row>
    <row r="29" customFormat="false" ht="52.5" hidden="false" customHeight="true" outlineLevel="0" collapsed="false">
      <c r="A29" s="65" t="n">
        <v>25</v>
      </c>
      <c r="B29" s="121" t="s">
        <v>262</v>
      </c>
      <c r="C29" s="128" t="s">
        <v>212</v>
      </c>
      <c r="D29" s="138" t="s">
        <v>98</v>
      </c>
      <c r="E29" s="137" t="n">
        <v>552.6</v>
      </c>
      <c r="F29" s="96"/>
      <c r="G29" s="96"/>
      <c r="H29" s="96" t="n">
        <f aca="false">F29+G29</f>
        <v>0</v>
      </c>
      <c r="I29" s="96" t="n">
        <f aca="false">E29*H29</f>
        <v>0</v>
      </c>
      <c r="J29" s="125" t="s">
        <v>99</v>
      </c>
    </row>
    <row r="30" customFormat="false" ht="40.5" hidden="false" customHeight="true" outlineLevel="0" collapsed="false">
      <c r="A30" s="65" t="n">
        <v>26</v>
      </c>
      <c r="B30" s="121" t="s">
        <v>213</v>
      </c>
      <c r="C30" s="122" t="s">
        <v>214</v>
      </c>
      <c r="D30" s="121" t="s">
        <v>163</v>
      </c>
      <c r="E30" s="124" t="n">
        <v>1</v>
      </c>
      <c r="F30" s="96"/>
      <c r="G30" s="96"/>
      <c r="H30" s="96" t="n">
        <f aca="false">F30+G30</f>
        <v>0</v>
      </c>
      <c r="I30" s="96" t="n">
        <f aca="false">E30*H30</f>
        <v>0</v>
      </c>
      <c r="J30" s="125" t="s">
        <v>99</v>
      </c>
    </row>
    <row r="31" s="39" customFormat="true" ht="29.25" hidden="false" customHeight="true" outlineLevel="0" collapsed="false">
      <c r="A31" s="139"/>
      <c r="B31" s="140" t="s">
        <v>263</v>
      </c>
      <c r="C31" s="140"/>
      <c r="D31" s="105"/>
      <c r="E31" s="106"/>
      <c r="F31" s="108"/>
      <c r="G31" s="108"/>
      <c r="H31" s="108"/>
      <c r="I31" s="108" t="n">
        <f aca="false">SUM(I5:I30)</f>
        <v>0</v>
      </c>
      <c r="J31" s="141"/>
      <c r="K31" s="118"/>
      <c r="M31" s="46"/>
    </row>
  </sheetData>
  <mergeCells count="12">
    <mergeCell ref="A1:J1"/>
    <mergeCell ref="A2:J2"/>
    <mergeCell ref="A3:A4"/>
    <mergeCell ref="B3:B4"/>
    <mergeCell ref="C3:C4"/>
    <mergeCell ref="D3:D4"/>
    <mergeCell ref="E3:E4"/>
    <mergeCell ref="F3:G3"/>
    <mergeCell ref="H3:H4"/>
    <mergeCell ref="I3:I4"/>
    <mergeCell ref="J3:J4"/>
    <mergeCell ref="B31:C31"/>
  </mergeCells>
  <conditionalFormatting sqref="A30">
    <cfRule type="containsText" priority="2" operator="containsText" aboveAverage="0" equalAverage="0" bottom="0" percent="0" rank="0" text="c" dxfId="0">
      <formula>NOT(ISERROR(SEARCH("c",A30)))</formula>
    </cfRule>
    <cfRule type="containsText" priority="3" operator="containsText" aboveAverage="0" equalAverage="0" bottom="0" percent="0" rank="0" text="b" dxfId="1">
      <formula>NOT(ISERROR(SEARCH("b",A30)))</formula>
    </cfRule>
    <cfRule type="containsText" priority="4" operator="containsText" aboveAverage="0" equalAverage="0" bottom="0" percent="0" rank="0" text="a" dxfId="2">
      <formula>NOT(ISERROR(SEARCH("a",A30)))</formula>
    </cfRule>
  </conditionalFormatting>
  <conditionalFormatting sqref="A6:A29">
    <cfRule type="containsText" priority="5" operator="containsText" aboveAverage="0" equalAverage="0" bottom="0" percent="0" rank="0" text="c" dxfId="0">
      <formula>NOT(ISERROR(SEARCH("c",A6)))</formula>
    </cfRule>
    <cfRule type="containsText" priority="6" operator="containsText" aboveAverage="0" equalAverage="0" bottom="0" percent="0" rank="0" text="b" dxfId="1">
      <formula>NOT(ISERROR(SEARCH("b",A6)))</formula>
    </cfRule>
    <cfRule type="containsText" priority="7" operator="containsText" aboveAverage="0" equalAverage="0" bottom="0" percent="0" rank="0" text="a" dxfId="2">
      <formula>NOT(ISERROR(SEARCH("a",A6)))</formula>
    </cfRule>
  </conditionalFormatting>
  <conditionalFormatting sqref="A1">
    <cfRule type="containsText" priority="8" operator="containsText" aboveAverage="0" equalAverage="0" bottom="0" percent="0" rank="0" text="c" dxfId="0">
      <formula>NOT(ISERROR(SEARCH("c",A1)))</formula>
    </cfRule>
    <cfRule type="containsText" priority="9" operator="containsText" aboveAverage="0" equalAverage="0" bottom="0" percent="0" rank="0" text="b" dxfId="1">
      <formula>NOT(ISERROR(SEARCH("b",A1)))</formula>
    </cfRule>
    <cfRule type="containsText" priority="10" operator="containsText" aboveAverage="0" equalAverage="0" bottom="0" percent="0" rank="0" text="a" dxfId="2">
      <formula>NOT(ISERROR(SEARCH("a",A1)))</formula>
    </cfRule>
  </conditionalFormatting>
  <printOptions headings="false" gridLines="false" gridLinesSet="true" horizontalCentered="true" verticalCentered="false"/>
  <pageMargins left="0.472222222222222" right="0.393055555555556" top="0.393055555555556" bottom="0.392361111111111" header="0.511811023622047" footer="0.10625"/>
  <pageSetup paperSize="9" scale="100" fitToWidth="1" fitToHeight="0" pageOrder="downThenOver" orientation="portrait" blackAndWhite="false" draft="false" cellComments="none" horizontalDpi="300" verticalDpi="300" copies="1"/>
  <headerFooter differentFirst="false" differentOddEven="false">
    <oddHeader/>
    <oddFooter>&amp;C第 &amp;P 页，共 &amp;N 页 / Trang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67"/>
  <sheetViews>
    <sheetView showFormulas="false" showGridLines="true" showRowColHeaders="true" showZeros="true" rightToLeft="false" tabSelected="false" showOutlineSymbols="true" defaultGridColor="true" view="pageBreakPreview" topLeftCell="A1" colorId="64" zoomScale="115" zoomScaleNormal="115" zoomScalePageLayoutView="115" workbookViewId="0">
      <pane xSplit="0" ySplit="4" topLeftCell="A151" activePane="bottomLeft" state="frozen"/>
      <selection pane="topLeft" activeCell="A1" activeCellId="0" sqref="A1"/>
      <selection pane="bottomLeft" activeCell="G6" activeCellId="0" sqref="G6"/>
    </sheetView>
  </sheetViews>
  <sheetFormatPr defaultColWidth="9.00390625" defaultRowHeight="12" zeroHeight="false" outlineLevelRow="1" outlineLevelCol="0"/>
  <cols>
    <col collapsed="false" customWidth="true" hidden="false" outlineLevel="0" max="1" min="1" style="95" width="6.37"/>
    <col collapsed="false" customWidth="true" hidden="false" outlineLevel="0" max="2" min="2" style="142" width="24"/>
    <col collapsed="false" customWidth="true" hidden="false" outlineLevel="0" max="3" min="3" style="95" width="52"/>
    <col collapsed="false" customWidth="true" hidden="false" outlineLevel="0" max="4" min="4" style="142" width="8"/>
    <col collapsed="false" customWidth="true" hidden="false" outlineLevel="0" max="5" min="5" style="143" width="8.63"/>
    <col collapsed="false" customWidth="true" hidden="false" outlineLevel="0" max="6" min="6" style="143" width="14.55"/>
    <col collapsed="false" customWidth="true" hidden="false" outlineLevel="0" max="8" min="7" style="144" width="14.55"/>
    <col collapsed="false" customWidth="true" hidden="false" outlineLevel="0" max="9" min="9" style="145" width="18.55"/>
    <col collapsed="false" customWidth="true" hidden="false" outlineLevel="0" max="10" min="10" style="142" width="20"/>
    <col collapsed="false" customWidth="true" hidden="false" outlineLevel="0" max="11" min="11" style="2" width="12"/>
    <col collapsed="false" customWidth="true" hidden="false" outlineLevel="0" max="12" min="12" style="146" width="13.33"/>
    <col collapsed="false" customWidth="true" hidden="false" outlineLevel="0" max="13" min="13" style="95" width="13"/>
    <col collapsed="false" customWidth="true" hidden="false" outlineLevel="0" max="14" min="14" style="95" width="9.89"/>
    <col collapsed="false" customWidth="false" hidden="false" outlineLevel="0" max="15" min="15" style="95" width="9"/>
    <col collapsed="false" customWidth="true" hidden="false" outlineLevel="0" max="16" min="16" style="95" width="14.45"/>
    <col collapsed="false" customWidth="false" hidden="false" outlineLevel="0" max="17" min="17" style="95" width="9"/>
    <col collapsed="false" customWidth="true" hidden="false" outlineLevel="0" max="18" min="18" style="95" width="13.22"/>
    <col collapsed="false" customWidth="false" hidden="false" outlineLevel="0" max="19" min="19" style="95" width="9"/>
    <col collapsed="false" customWidth="true" hidden="false" outlineLevel="0" max="20" min="20" style="95" width="12.11"/>
    <col collapsed="false" customWidth="false" hidden="false" outlineLevel="0" max="16384" min="21" style="95" width="9"/>
  </cols>
  <sheetData>
    <row r="1" customFormat="false" ht="57.75" hidden="false" customHeight="true" outlineLevel="0" collapsed="false">
      <c r="A1" s="147" t="s">
        <v>15</v>
      </c>
      <c r="B1" s="147"/>
      <c r="C1" s="147"/>
      <c r="D1" s="147"/>
      <c r="E1" s="147"/>
      <c r="F1" s="147"/>
      <c r="G1" s="147"/>
      <c r="H1" s="147"/>
      <c r="I1" s="147"/>
      <c r="J1" s="147"/>
    </row>
    <row r="2" s="78" customFormat="true" ht="29.25" hidden="false" customHeight="true" outlineLevel="0" collapsed="false">
      <c r="A2" s="148" t="s">
        <v>264</v>
      </c>
      <c r="B2" s="148"/>
      <c r="C2" s="148"/>
      <c r="D2" s="148"/>
      <c r="E2" s="148"/>
      <c r="F2" s="148"/>
      <c r="G2" s="148"/>
      <c r="H2" s="148"/>
      <c r="I2" s="148"/>
      <c r="J2" s="148"/>
      <c r="K2" s="118"/>
      <c r="L2" s="149"/>
    </row>
    <row r="3" s="78" customFormat="true" ht="29.25" hidden="false" customHeight="true" outlineLevel="0" collapsed="false">
      <c r="A3" s="52" t="s">
        <v>17</v>
      </c>
      <c r="B3" s="53" t="s">
        <v>18</v>
      </c>
      <c r="C3" s="53" t="s">
        <v>19</v>
      </c>
      <c r="D3" s="53" t="s">
        <v>20</v>
      </c>
      <c r="E3" s="54" t="s">
        <v>21</v>
      </c>
      <c r="F3" s="54" t="s">
        <v>22</v>
      </c>
      <c r="G3" s="54"/>
      <c r="H3" s="150" t="s">
        <v>23</v>
      </c>
      <c r="I3" s="56" t="s">
        <v>24</v>
      </c>
      <c r="J3" s="151" t="s">
        <v>25</v>
      </c>
      <c r="K3" s="118"/>
      <c r="L3" s="149"/>
    </row>
    <row r="4" customFormat="false" ht="40.5" hidden="false" customHeight="true" outlineLevel="0" collapsed="false">
      <c r="A4" s="52"/>
      <c r="B4" s="53"/>
      <c r="C4" s="53"/>
      <c r="D4" s="53"/>
      <c r="E4" s="53"/>
      <c r="F4" s="58" t="s">
        <v>26</v>
      </c>
      <c r="G4" s="59" t="s">
        <v>27</v>
      </c>
      <c r="H4" s="150"/>
      <c r="I4" s="150"/>
      <c r="J4" s="151"/>
      <c r="K4" s="118"/>
    </row>
    <row r="5" customFormat="false" ht="29.25" hidden="false" customHeight="true" outlineLevel="0" collapsed="false">
      <c r="A5" s="84" t="s">
        <v>28</v>
      </c>
      <c r="B5" s="79" t="s">
        <v>265</v>
      </c>
      <c r="C5" s="152"/>
      <c r="D5" s="79"/>
      <c r="E5" s="80"/>
      <c r="F5" s="80"/>
      <c r="G5" s="81"/>
      <c r="H5" s="81"/>
      <c r="I5" s="82"/>
      <c r="J5" s="83"/>
      <c r="K5" s="118"/>
    </row>
    <row r="6" s="78" customFormat="true" ht="298.5" hidden="false" customHeight="true" outlineLevel="1" collapsed="false">
      <c r="A6" s="65" t="n">
        <v>1</v>
      </c>
      <c r="B6" s="66" t="s">
        <v>266</v>
      </c>
      <c r="C6" s="67" t="s">
        <v>267</v>
      </c>
      <c r="D6" s="66" t="s">
        <v>32</v>
      </c>
      <c r="E6" s="68" t="n">
        <v>24</v>
      </c>
      <c r="F6" s="68"/>
      <c r="G6" s="153"/>
      <c r="H6" s="153" t="n">
        <f aca="false">F6+G6</f>
        <v>0</v>
      </c>
      <c r="I6" s="69" t="n">
        <f aca="false">E6*H6</f>
        <v>0</v>
      </c>
      <c r="J6" s="71" t="s">
        <v>56</v>
      </c>
      <c r="K6" s="118"/>
      <c r="L6" s="149"/>
    </row>
    <row r="7" s="78" customFormat="true" ht="263.25" hidden="false" customHeight="true" outlineLevel="1" collapsed="false">
      <c r="A7" s="65" t="n">
        <v>2</v>
      </c>
      <c r="B7" s="66" t="s">
        <v>268</v>
      </c>
      <c r="C7" s="67" t="s">
        <v>269</v>
      </c>
      <c r="D7" s="66" t="s">
        <v>32</v>
      </c>
      <c r="E7" s="68" t="n">
        <v>20</v>
      </c>
      <c r="F7" s="68"/>
      <c r="G7" s="153"/>
      <c r="H7" s="153" t="n">
        <f aca="false">F7+G7</f>
        <v>0</v>
      </c>
      <c r="I7" s="69" t="n">
        <f aca="false">E7*H7</f>
        <v>0</v>
      </c>
      <c r="J7" s="71" t="s">
        <v>56</v>
      </c>
      <c r="K7" s="118"/>
      <c r="L7" s="149"/>
    </row>
    <row r="8" s="78" customFormat="true" ht="263.25" hidden="false" customHeight="true" outlineLevel="1" collapsed="false">
      <c r="A8" s="65" t="n">
        <v>3</v>
      </c>
      <c r="B8" s="66" t="s">
        <v>270</v>
      </c>
      <c r="C8" s="67" t="s">
        <v>271</v>
      </c>
      <c r="D8" s="66" t="s">
        <v>32</v>
      </c>
      <c r="E8" s="68" t="n">
        <v>4</v>
      </c>
      <c r="F8" s="68"/>
      <c r="G8" s="153"/>
      <c r="H8" s="153" t="n">
        <f aca="false">F8+G8</f>
        <v>0</v>
      </c>
      <c r="I8" s="69" t="n">
        <f aca="false">E8*H8</f>
        <v>0</v>
      </c>
      <c r="J8" s="71" t="s">
        <v>56</v>
      </c>
      <c r="K8" s="118"/>
      <c r="L8" s="149"/>
    </row>
    <row r="9" s="78" customFormat="true" ht="169.5" hidden="false" customHeight="true" outlineLevel="1" collapsed="false">
      <c r="A9" s="65" t="n">
        <v>4</v>
      </c>
      <c r="B9" s="66" t="s">
        <v>272</v>
      </c>
      <c r="C9" s="67" t="s">
        <v>273</v>
      </c>
      <c r="D9" s="66" t="s">
        <v>32</v>
      </c>
      <c r="E9" s="68" t="n">
        <v>34</v>
      </c>
      <c r="F9" s="68"/>
      <c r="G9" s="153"/>
      <c r="H9" s="153" t="n">
        <f aca="false">F9+G9</f>
        <v>0</v>
      </c>
      <c r="I9" s="69" t="n">
        <f aca="false">E9*H9</f>
        <v>0</v>
      </c>
      <c r="J9" s="71" t="s">
        <v>56</v>
      </c>
      <c r="K9" s="118"/>
      <c r="L9" s="149"/>
    </row>
    <row r="10" s="78" customFormat="true" ht="169.5" hidden="false" customHeight="true" outlineLevel="1" collapsed="false">
      <c r="A10" s="65" t="n">
        <v>5</v>
      </c>
      <c r="B10" s="66" t="s">
        <v>274</v>
      </c>
      <c r="C10" s="67" t="s">
        <v>275</v>
      </c>
      <c r="D10" s="66" t="s">
        <v>32</v>
      </c>
      <c r="E10" s="68" t="n">
        <v>4</v>
      </c>
      <c r="F10" s="68"/>
      <c r="G10" s="153"/>
      <c r="H10" s="153" t="n">
        <f aca="false">F10+G10</f>
        <v>0</v>
      </c>
      <c r="I10" s="69" t="n">
        <f aca="false">E10*H10</f>
        <v>0</v>
      </c>
      <c r="J10" s="71" t="s">
        <v>56</v>
      </c>
      <c r="K10" s="118"/>
      <c r="L10" s="149"/>
    </row>
    <row r="11" s="78" customFormat="true" ht="169.5" hidden="false" customHeight="true" outlineLevel="1" collapsed="false">
      <c r="A11" s="65" t="n">
        <v>6</v>
      </c>
      <c r="B11" s="66" t="s">
        <v>276</v>
      </c>
      <c r="C11" s="67" t="s">
        <v>277</v>
      </c>
      <c r="D11" s="66" t="s">
        <v>32</v>
      </c>
      <c r="E11" s="68" t="n">
        <v>10</v>
      </c>
      <c r="F11" s="68"/>
      <c r="G11" s="153"/>
      <c r="H11" s="153" t="n">
        <f aca="false">F11+G11</f>
        <v>0</v>
      </c>
      <c r="I11" s="69" t="n">
        <f aca="false">E11*H11</f>
        <v>0</v>
      </c>
      <c r="J11" s="71" t="s">
        <v>56</v>
      </c>
      <c r="K11" s="118"/>
      <c r="L11" s="149"/>
    </row>
    <row r="12" s="78" customFormat="true" ht="146.25" hidden="false" customHeight="true" outlineLevel="1" collapsed="false">
      <c r="A12" s="65" t="n">
        <v>7</v>
      </c>
      <c r="B12" s="66" t="s">
        <v>54</v>
      </c>
      <c r="C12" s="67" t="s">
        <v>55</v>
      </c>
      <c r="D12" s="66" t="s">
        <v>32</v>
      </c>
      <c r="E12" s="68" t="n">
        <v>25</v>
      </c>
      <c r="F12" s="68"/>
      <c r="G12" s="153"/>
      <c r="H12" s="153" t="n">
        <f aca="false">F12+G12</f>
        <v>0</v>
      </c>
      <c r="I12" s="69" t="n">
        <f aca="false">E12*H12</f>
        <v>0</v>
      </c>
      <c r="J12" s="71" t="s">
        <v>56</v>
      </c>
      <c r="K12" s="118"/>
      <c r="L12" s="149"/>
    </row>
    <row r="13" s="78" customFormat="true" ht="146.25" hidden="false" customHeight="true" outlineLevel="1" collapsed="false">
      <c r="A13" s="65" t="n">
        <v>8</v>
      </c>
      <c r="B13" s="66" t="s">
        <v>278</v>
      </c>
      <c r="C13" s="67" t="s">
        <v>279</v>
      </c>
      <c r="D13" s="66" t="s">
        <v>32</v>
      </c>
      <c r="E13" s="68" t="n">
        <v>4</v>
      </c>
      <c r="F13" s="68"/>
      <c r="G13" s="153"/>
      <c r="H13" s="153" t="n">
        <f aca="false">F13+G13</f>
        <v>0</v>
      </c>
      <c r="I13" s="69" t="n">
        <f aca="false">E13*H13</f>
        <v>0</v>
      </c>
      <c r="J13" s="71" t="s">
        <v>56</v>
      </c>
      <c r="K13" s="118"/>
      <c r="L13" s="149"/>
    </row>
    <row r="14" s="78" customFormat="true" ht="146.25" hidden="false" customHeight="true" outlineLevel="1" collapsed="false">
      <c r="A14" s="65" t="n">
        <v>9</v>
      </c>
      <c r="B14" s="66" t="s">
        <v>280</v>
      </c>
      <c r="C14" s="67" t="s">
        <v>281</v>
      </c>
      <c r="D14" s="66" t="s">
        <v>32</v>
      </c>
      <c r="E14" s="68" t="n">
        <v>6</v>
      </c>
      <c r="F14" s="68"/>
      <c r="G14" s="153"/>
      <c r="H14" s="153" t="n">
        <f aca="false">F14+G14</f>
        <v>0</v>
      </c>
      <c r="I14" s="69" t="n">
        <f aca="false">E14*H14</f>
        <v>0</v>
      </c>
      <c r="J14" s="71" t="s">
        <v>56</v>
      </c>
      <c r="K14" s="118"/>
      <c r="L14" s="149"/>
    </row>
    <row r="15" s="78" customFormat="true" ht="146.25" hidden="false" customHeight="true" outlineLevel="1" collapsed="false">
      <c r="A15" s="65" t="n">
        <v>10</v>
      </c>
      <c r="B15" s="66" t="s">
        <v>282</v>
      </c>
      <c r="C15" s="67" t="s">
        <v>283</v>
      </c>
      <c r="D15" s="66" t="s">
        <v>32</v>
      </c>
      <c r="E15" s="68" t="n">
        <v>2</v>
      </c>
      <c r="F15" s="68"/>
      <c r="G15" s="153"/>
      <c r="H15" s="153" t="n">
        <f aca="false">F15+G15</f>
        <v>0</v>
      </c>
      <c r="I15" s="69" t="n">
        <f aca="false">E15*H15</f>
        <v>0</v>
      </c>
      <c r="J15" s="71" t="s">
        <v>56</v>
      </c>
      <c r="K15" s="118"/>
      <c r="L15" s="149"/>
    </row>
    <row r="16" s="78" customFormat="true" ht="146.25" hidden="false" customHeight="true" outlineLevel="1" collapsed="false">
      <c r="A16" s="65" t="n">
        <v>11</v>
      </c>
      <c r="B16" s="66" t="s">
        <v>284</v>
      </c>
      <c r="C16" s="67" t="s">
        <v>285</v>
      </c>
      <c r="D16" s="66" t="s">
        <v>32</v>
      </c>
      <c r="E16" s="68" t="n">
        <v>3</v>
      </c>
      <c r="F16" s="68"/>
      <c r="G16" s="153"/>
      <c r="H16" s="153" t="n">
        <f aca="false">F16+G16</f>
        <v>0</v>
      </c>
      <c r="I16" s="69" t="n">
        <f aca="false">E16*H16</f>
        <v>0</v>
      </c>
      <c r="J16" s="71" t="s">
        <v>56</v>
      </c>
      <c r="K16" s="118"/>
      <c r="L16" s="149"/>
    </row>
    <row r="17" s="78" customFormat="true" ht="146.25" hidden="false" customHeight="true" outlineLevel="1" collapsed="false">
      <c r="A17" s="65" t="n">
        <v>12</v>
      </c>
      <c r="B17" s="66" t="s">
        <v>286</v>
      </c>
      <c r="C17" s="67" t="s">
        <v>287</v>
      </c>
      <c r="D17" s="66" t="s">
        <v>32</v>
      </c>
      <c r="E17" s="68" t="n">
        <v>18</v>
      </c>
      <c r="F17" s="68"/>
      <c r="G17" s="153"/>
      <c r="H17" s="153" t="n">
        <f aca="false">F17+G17</f>
        <v>0</v>
      </c>
      <c r="I17" s="69" t="n">
        <f aca="false">E17*H17</f>
        <v>0</v>
      </c>
      <c r="J17" s="71" t="s">
        <v>56</v>
      </c>
      <c r="K17" s="118"/>
      <c r="L17" s="149"/>
    </row>
    <row r="18" s="154" customFormat="true" ht="146.25" hidden="false" customHeight="true" outlineLevel="1" collapsed="false">
      <c r="A18" s="65" t="n">
        <v>13</v>
      </c>
      <c r="B18" s="66" t="s">
        <v>288</v>
      </c>
      <c r="C18" s="67" t="s">
        <v>289</v>
      </c>
      <c r="D18" s="86" t="s">
        <v>98</v>
      </c>
      <c r="E18" s="87" t="n">
        <v>15551.1</v>
      </c>
      <c r="F18" s="87"/>
      <c r="G18" s="153"/>
      <c r="H18" s="153" t="n">
        <f aca="false">F18+G18</f>
        <v>0</v>
      </c>
      <c r="I18" s="69" t="n">
        <f aca="false">E18*H18</f>
        <v>0</v>
      </c>
      <c r="J18" s="71" t="s">
        <v>99</v>
      </c>
      <c r="K18" s="118"/>
      <c r="L18" s="149"/>
    </row>
    <row r="19" s="154" customFormat="true" ht="146.25" hidden="false" customHeight="true" outlineLevel="1" collapsed="false">
      <c r="A19" s="65" t="n">
        <v>14</v>
      </c>
      <c r="B19" s="66" t="s">
        <v>290</v>
      </c>
      <c r="C19" s="67" t="s">
        <v>291</v>
      </c>
      <c r="D19" s="86" t="s">
        <v>98</v>
      </c>
      <c r="E19" s="87" t="n">
        <v>11423.7</v>
      </c>
      <c r="F19" s="87"/>
      <c r="G19" s="153"/>
      <c r="H19" s="153" t="n">
        <f aca="false">F19+G19</f>
        <v>0</v>
      </c>
      <c r="I19" s="69" t="n">
        <f aca="false">E19*H19</f>
        <v>0</v>
      </c>
      <c r="J19" s="71" t="s">
        <v>99</v>
      </c>
      <c r="K19" s="118"/>
      <c r="L19" s="149"/>
    </row>
    <row r="20" s="154" customFormat="true" ht="146.25" hidden="false" customHeight="true" outlineLevel="1" collapsed="false">
      <c r="A20" s="65" t="n">
        <v>15</v>
      </c>
      <c r="B20" s="66" t="s">
        <v>292</v>
      </c>
      <c r="C20" s="67" t="s">
        <v>293</v>
      </c>
      <c r="D20" s="86" t="s">
        <v>98</v>
      </c>
      <c r="E20" s="87" t="n">
        <v>6956.7</v>
      </c>
      <c r="F20" s="87"/>
      <c r="G20" s="153"/>
      <c r="H20" s="153" t="n">
        <f aca="false">F20+G20</f>
        <v>0</v>
      </c>
      <c r="I20" s="69" t="n">
        <f aca="false">E20*H20</f>
        <v>0</v>
      </c>
      <c r="J20" s="71" t="s">
        <v>99</v>
      </c>
      <c r="K20" s="118"/>
      <c r="L20" s="149"/>
    </row>
    <row r="21" s="154" customFormat="true" ht="146.25" hidden="false" customHeight="true" outlineLevel="1" collapsed="false">
      <c r="A21" s="65" t="n">
        <v>16</v>
      </c>
      <c r="B21" s="66" t="s">
        <v>294</v>
      </c>
      <c r="C21" s="67" t="s">
        <v>295</v>
      </c>
      <c r="D21" s="86" t="s">
        <v>98</v>
      </c>
      <c r="E21" s="87" t="n">
        <v>205.5</v>
      </c>
      <c r="F21" s="87"/>
      <c r="G21" s="153"/>
      <c r="H21" s="153" t="n">
        <f aca="false">F21+G21</f>
        <v>0</v>
      </c>
      <c r="I21" s="69" t="n">
        <f aca="false">E21*H21</f>
        <v>0</v>
      </c>
      <c r="J21" s="71" t="s">
        <v>99</v>
      </c>
      <c r="K21" s="118"/>
      <c r="L21" s="149"/>
    </row>
    <row r="22" s="154" customFormat="true" ht="146.25" hidden="false" customHeight="true" outlineLevel="1" collapsed="false">
      <c r="A22" s="65" t="n">
        <v>17</v>
      </c>
      <c r="B22" s="66" t="s">
        <v>296</v>
      </c>
      <c r="C22" s="67" t="s">
        <v>297</v>
      </c>
      <c r="D22" s="86" t="s">
        <v>98</v>
      </c>
      <c r="E22" s="87" t="n">
        <v>322.1</v>
      </c>
      <c r="F22" s="87"/>
      <c r="G22" s="153"/>
      <c r="H22" s="153" t="n">
        <f aca="false">F22+G22</f>
        <v>0</v>
      </c>
      <c r="I22" s="69" t="n">
        <f aca="false">E22*H22</f>
        <v>0</v>
      </c>
      <c r="J22" s="71" t="s">
        <v>99</v>
      </c>
      <c r="K22" s="118"/>
      <c r="L22" s="149"/>
    </row>
    <row r="23" s="39" customFormat="true" ht="29.25" hidden="false" customHeight="true" outlineLevel="0" collapsed="false">
      <c r="A23" s="65"/>
      <c r="B23" s="79" t="s">
        <v>57</v>
      </c>
      <c r="C23" s="102"/>
      <c r="D23" s="86"/>
      <c r="E23" s="80"/>
      <c r="F23" s="80"/>
      <c r="G23" s="81"/>
      <c r="H23" s="81"/>
      <c r="I23" s="82" t="n">
        <f aca="false">SUM(I6:I22)</f>
        <v>0</v>
      </c>
      <c r="J23" s="83"/>
      <c r="K23" s="118"/>
      <c r="L23" s="149"/>
    </row>
    <row r="24" customFormat="false" ht="29.25" hidden="false" customHeight="true" outlineLevel="0" collapsed="false">
      <c r="A24" s="84" t="s">
        <v>58</v>
      </c>
      <c r="B24" s="79" t="s">
        <v>298</v>
      </c>
      <c r="C24" s="152"/>
      <c r="D24" s="79"/>
      <c r="E24" s="80"/>
      <c r="F24" s="80"/>
      <c r="G24" s="81"/>
      <c r="H24" s="81"/>
      <c r="I24" s="82"/>
      <c r="J24" s="83"/>
      <c r="K24" s="118"/>
      <c r="L24" s="149"/>
    </row>
    <row r="25" customFormat="false" ht="204.75" hidden="false" customHeight="true" outlineLevel="1" collapsed="false">
      <c r="A25" s="65" t="n">
        <f aca="false">ROW()-6</f>
        <v>19</v>
      </c>
      <c r="B25" s="66" t="s">
        <v>299</v>
      </c>
      <c r="C25" s="67" t="s">
        <v>300</v>
      </c>
      <c r="D25" s="66" t="s">
        <v>301</v>
      </c>
      <c r="E25" s="155" t="n">
        <v>2011.6024</v>
      </c>
      <c r="F25" s="155"/>
      <c r="G25" s="153"/>
      <c r="H25" s="153" t="n">
        <f aca="false">F25+G25</f>
        <v>0</v>
      </c>
      <c r="I25" s="69" t="n">
        <f aca="false">E25*H25</f>
        <v>0</v>
      </c>
      <c r="J25" s="71" t="s">
        <v>302</v>
      </c>
      <c r="K25" s="118"/>
      <c r="L25" s="149"/>
      <c r="N25" s="156"/>
      <c r="P25" s="94"/>
      <c r="R25" s="146"/>
    </row>
    <row r="26" customFormat="false" ht="204.75" hidden="false" customHeight="true" outlineLevel="1" collapsed="false">
      <c r="A26" s="65" t="n">
        <f aca="false">ROW()-6</f>
        <v>20</v>
      </c>
      <c r="B26" s="66" t="s">
        <v>299</v>
      </c>
      <c r="C26" s="67" t="s">
        <v>303</v>
      </c>
      <c r="D26" s="66" t="s">
        <v>301</v>
      </c>
      <c r="E26" s="155" t="n">
        <v>8961.5</v>
      </c>
      <c r="F26" s="155"/>
      <c r="G26" s="153"/>
      <c r="H26" s="153" t="n">
        <f aca="false">F26+G26</f>
        <v>0</v>
      </c>
      <c r="I26" s="69" t="n">
        <f aca="false">E26*H26</f>
        <v>0</v>
      </c>
      <c r="J26" s="71" t="s">
        <v>302</v>
      </c>
      <c r="K26" s="118"/>
      <c r="L26" s="149"/>
    </row>
    <row r="27" customFormat="false" ht="204.75" hidden="false" customHeight="true" outlineLevel="1" collapsed="false">
      <c r="A27" s="65" t="n">
        <f aca="false">ROW()-6</f>
        <v>21</v>
      </c>
      <c r="B27" s="66" t="s">
        <v>299</v>
      </c>
      <c r="C27" s="67" t="s">
        <v>304</v>
      </c>
      <c r="D27" s="66" t="s">
        <v>301</v>
      </c>
      <c r="E27" s="155" t="n">
        <v>1810.4</v>
      </c>
      <c r="F27" s="155"/>
      <c r="G27" s="153"/>
      <c r="H27" s="153" t="n">
        <f aca="false">F27+G27</f>
        <v>0</v>
      </c>
      <c r="I27" s="69" t="n">
        <f aca="false">E27*H27</f>
        <v>0</v>
      </c>
      <c r="J27" s="71" t="s">
        <v>302</v>
      </c>
      <c r="K27" s="118"/>
      <c r="L27" s="149"/>
    </row>
    <row r="28" customFormat="false" ht="204.75" hidden="false" customHeight="true" outlineLevel="1" collapsed="false">
      <c r="A28" s="65" t="n">
        <f aca="false">ROW()-6</f>
        <v>22</v>
      </c>
      <c r="B28" s="66" t="s">
        <v>299</v>
      </c>
      <c r="C28" s="67" t="s">
        <v>305</v>
      </c>
      <c r="D28" s="66" t="s">
        <v>301</v>
      </c>
      <c r="E28" s="155" t="n">
        <v>48.7</v>
      </c>
      <c r="F28" s="155"/>
      <c r="G28" s="153"/>
      <c r="H28" s="153" t="n">
        <f aca="false">F28+G28</f>
        <v>0</v>
      </c>
      <c r="I28" s="69" t="n">
        <f aca="false">E28*H28</f>
        <v>0</v>
      </c>
      <c r="J28" s="71" t="s">
        <v>302</v>
      </c>
      <c r="K28" s="118"/>
      <c r="L28" s="149"/>
    </row>
    <row r="29" customFormat="false" ht="204.75" hidden="false" customHeight="true" outlineLevel="1" collapsed="false">
      <c r="A29" s="65" t="n">
        <f aca="false">ROW()-6</f>
        <v>23</v>
      </c>
      <c r="B29" s="66" t="s">
        <v>306</v>
      </c>
      <c r="C29" s="67" t="s">
        <v>307</v>
      </c>
      <c r="D29" s="66" t="s">
        <v>102</v>
      </c>
      <c r="E29" s="157" t="n">
        <v>44</v>
      </c>
      <c r="F29" s="157"/>
      <c r="G29" s="153"/>
      <c r="H29" s="153" t="n">
        <f aca="false">F29+G29</f>
        <v>0</v>
      </c>
      <c r="I29" s="69" t="n">
        <f aca="false">E29*H29</f>
        <v>0</v>
      </c>
      <c r="J29" s="71" t="s">
        <v>99</v>
      </c>
      <c r="K29" s="118"/>
      <c r="L29" s="149"/>
    </row>
    <row r="30" customFormat="false" ht="204.75" hidden="false" customHeight="true" outlineLevel="1" collapsed="false">
      <c r="A30" s="65" t="n">
        <f aca="false">ROW()-6</f>
        <v>24</v>
      </c>
      <c r="B30" s="66" t="s">
        <v>306</v>
      </c>
      <c r="C30" s="67" t="s">
        <v>308</v>
      </c>
      <c r="D30" s="66" t="s">
        <v>102</v>
      </c>
      <c r="E30" s="157" t="n">
        <v>48</v>
      </c>
      <c r="F30" s="157"/>
      <c r="G30" s="153"/>
      <c r="H30" s="153" t="n">
        <f aca="false">F30+G30</f>
        <v>0</v>
      </c>
      <c r="I30" s="69" t="n">
        <f aca="false">E30*H30</f>
        <v>0</v>
      </c>
      <c r="J30" s="71" t="s">
        <v>99</v>
      </c>
      <c r="K30" s="118"/>
      <c r="L30" s="149"/>
    </row>
    <row r="31" customFormat="false" ht="204.75" hidden="false" customHeight="true" outlineLevel="1" collapsed="false">
      <c r="A31" s="65" t="n">
        <f aca="false">ROW()-6</f>
        <v>25</v>
      </c>
      <c r="B31" s="66" t="s">
        <v>306</v>
      </c>
      <c r="C31" s="67" t="s">
        <v>309</v>
      </c>
      <c r="D31" s="66" t="s">
        <v>102</v>
      </c>
      <c r="E31" s="157" t="n">
        <v>24</v>
      </c>
      <c r="F31" s="157"/>
      <c r="G31" s="153"/>
      <c r="H31" s="153" t="n">
        <f aca="false">F31+G31</f>
        <v>0</v>
      </c>
      <c r="I31" s="69" t="n">
        <f aca="false">E31*H31</f>
        <v>0</v>
      </c>
      <c r="J31" s="71" t="s">
        <v>99</v>
      </c>
      <c r="K31" s="118"/>
      <c r="L31" s="149"/>
    </row>
    <row r="32" customFormat="false" ht="111" hidden="false" customHeight="true" outlineLevel="1" collapsed="false">
      <c r="A32" s="65" t="n">
        <f aca="false">ROW()-6</f>
        <v>26</v>
      </c>
      <c r="B32" s="66" t="s">
        <v>310</v>
      </c>
      <c r="C32" s="67" t="s">
        <v>311</v>
      </c>
      <c r="D32" s="66" t="s">
        <v>301</v>
      </c>
      <c r="E32" s="155" t="n">
        <v>12832.2024</v>
      </c>
      <c r="F32" s="155"/>
      <c r="G32" s="153"/>
      <c r="H32" s="153" t="n">
        <f aca="false">F32+G32</f>
        <v>0</v>
      </c>
      <c r="I32" s="69" t="n">
        <f aca="false">E32*H32</f>
        <v>0</v>
      </c>
      <c r="J32" s="71" t="s">
        <v>312</v>
      </c>
      <c r="K32" s="118"/>
      <c r="L32" s="149"/>
    </row>
    <row r="33" customFormat="false" ht="123" hidden="false" customHeight="true" outlineLevel="1" collapsed="false">
      <c r="A33" s="65" t="n">
        <f aca="false">ROW()-6</f>
        <v>27</v>
      </c>
      <c r="B33" s="66" t="s">
        <v>313</v>
      </c>
      <c r="C33" s="67" t="s">
        <v>314</v>
      </c>
      <c r="D33" s="86" t="s">
        <v>98</v>
      </c>
      <c r="E33" s="155" t="n">
        <v>11571.9</v>
      </c>
      <c r="F33" s="155"/>
      <c r="G33" s="153"/>
      <c r="H33" s="153" t="n">
        <f aca="false">F33+G33</f>
        <v>0</v>
      </c>
      <c r="I33" s="69" t="n">
        <f aca="false">E33*H33</f>
        <v>0</v>
      </c>
      <c r="J33" s="71" t="s">
        <v>99</v>
      </c>
      <c r="K33" s="118"/>
      <c r="L33" s="149"/>
    </row>
    <row r="34" customFormat="false" ht="134.25" hidden="false" customHeight="true" outlineLevel="1" collapsed="false">
      <c r="A34" s="65" t="n">
        <f aca="false">ROW()-6</f>
        <v>28</v>
      </c>
      <c r="B34" s="66" t="s">
        <v>315</v>
      </c>
      <c r="C34" s="67" t="s">
        <v>316</v>
      </c>
      <c r="D34" s="66" t="s">
        <v>317</v>
      </c>
      <c r="E34" s="157" t="n">
        <v>38</v>
      </c>
      <c r="F34" s="157"/>
      <c r="G34" s="153"/>
      <c r="H34" s="153" t="n">
        <f aca="false">F34+G34</f>
        <v>0</v>
      </c>
      <c r="I34" s="69" t="n">
        <f aca="false">E34*H34</f>
        <v>0</v>
      </c>
      <c r="J34" s="71" t="s">
        <v>53</v>
      </c>
      <c r="K34" s="118"/>
      <c r="L34" s="149"/>
    </row>
    <row r="35" customFormat="false" ht="134.25" hidden="false" customHeight="true" outlineLevel="1" collapsed="false">
      <c r="A35" s="65" t="n">
        <f aca="false">ROW()-6</f>
        <v>29</v>
      </c>
      <c r="B35" s="66" t="s">
        <v>315</v>
      </c>
      <c r="C35" s="67" t="s">
        <v>318</v>
      </c>
      <c r="D35" s="66" t="s">
        <v>317</v>
      </c>
      <c r="E35" s="157" t="n">
        <v>14</v>
      </c>
      <c r="F35" s="157"/>
      <c r="G35" s="153"/>
      <c r="H35" s="153" t="n">
        <f aca="false">F35+G35</f>
        <v>0</v>
      </c>
      <c r="I35" s="69" t="n">
        <f aca="false">E35*H35</f>
        <v>0</v>
      </c>
      <c r="J35" s="71" t="s">
        <v>53</v>
      </c>
      <c r="K35" s="118"/>
      <c r="L35" s="149"/>
    </row>
    <row r="36" customFormat="false" ht="134.25" hidden="false" customHeight="true" outlineLevel="1" collapsed="false">
      <c r="A36" s="65" t="n">
        <f aca="false">ROW()-6</f>
        <v>30</v>
      </c>
      <c r="B36" s="66" t="s">
        <v>315</v>
      </c>
      <c r="C36" s="67" t="s">
        <v>319</v>
      </c>
      <c r="D36" s="66" t="s">
        <v>317</v>
      </c>
      <c r="E36" s="157" t="n">
        <v>6</v>
      </c>
      <c r="F36" s="157"/>
      <c r="G36" s="153"/>
      <c r="H36" s="153" t="n">
        <f aca="false">F36+G36</f>
        <v>0</v>
      </c>
      <c r="I36" s="69" t="n">
        <f aca="false">E36*H36</f>
        <v>0</v>
      </c>
      <c r="J36" s="71" t="s">
        <v>53</v>
      </c>
      <c r="K36" s="118"/>
      <c r="L36" s="149"/>
    </row>
    <row r="37" customFormat="false" ht="134.25" hidden="false" customHeight="true" outlineLevel="1" collapsed="false">
      <c r="A37" s="65" t="n">
        <f aca="false">ROW()-6</f>
        <v>31</v>
      </c>
      <c r="B37" s="66" t="s">
        <v>315</v>
      </c>
      <c r="C37" s="67" t="s">
        <v>320</v>
      </c>
      <c r="D37" s="66" t="s">
        <v>317</v>
      </c>
      <c r="E37" s="157" t="n">
        <v>10</v>
      </c>
      <c r="F37" s="157"/>
      <c r="G37" s="153"/>
      <c r="H37" s="153" t="n">
        <f aca="false">F37+G37</f>
        <v>0</v>
      </c>
      <c r="I37" s="69" t="n">
        <f aca="false">E37*H37</f>
        <v>0</v>
      </c>
      <c r="J37" s="71" t="s">
        <v>53</v>
      </c>
      <c r="K37" s="118"/>
      <c r="L37" s="149"/>
    </row>
    <row r="38" customFormat="false" ht="134.25" hidden="false" customHeight="true" outlineLevel="1" collapsed="false">
      <c r="A38" s="65" t="n">
        <f aca="false">ROW()-6</f>
        <v>32</v>
      </c>
      <c r="B38" s="66" t="s">
        <v>315</v>
      </c>
      <c r="C38" s="67" t="s">
        <v>321</v>
      </c>
      <c r="D38" s="66" t="s">
        <v>317</v>
      </c>
      <c r="E38" s="157" t="n">
        <v>38</v>
      </c>
      <c r="F38" s="157"/>
      <c r="G38" s="153"/>
      <c r="H38" s="153" t="n">
        <f aca="false">F38+G38</f>
        <v>0</v>
      </c>
      <c r="I38" s="69" t="n">
        <f aca="false">E38*H38</f>
        <v>0</v>
      </c>
      <c r="J38" s="71" t="s">
        <v>53</v>
      </c>
      <c r="K38" s="118"/>
      <c r="L38" s="149"/>
    </row>
    <row r="39" customFormat="false" ht="134.25" hidden="false" customHeight="true" outlineLevel="1" collapsed="false">
      <c r="A39" s="65" t="n">
        <f aca="false">ROW()-6</f>
        <v>33</v>
      </c>
      <c r="B39" s="66" t="s">
        <v>315</v>
      </c>
      <c r="C39" s="67" t="s">
        <v>322</v>
      </c>
      <c r="D39" s="66" t="s">
        <v>317</v>
      </c>
      <c r="E39" s="157" t="n">
        <v>6</v>
      </c>
      <c r="F39" s="157"/>
      <c r="G39" s="153"/>
      <c r="H39" s="153" t="n">
        <f aca="false">F39+G39</f>
        <v>0</v>
      </c>
      <c r="I39" s="69" t="n">
        <f aca="false">E39*H39</f>
        <v>0</v>
      </c>
      <c r="J39" s="71" t="s">
        <v>53</v>
      </c>
      <c r="K39" s="118"/>
      <c r="L39" s="149"/>
    </row>
    <row r="40" customFormat="false" ht="134.25" hidden="false" customHeight="true" outlineLevel="1" collapsed="false">
      <c r="A40" s="65" t="n">
        <f aca="false">ROW()-6</f>
        <v>34</v>
      </c>
      <c r="B40" s="66" t="s">
        <v>315</v>
      </c>
      <c r="C40" s="67" t="s">
        <v>323</v>
      </c>
      <c r="D40" s="66" t="s">
        <v>317</v>
      </c>
      <c r="E40" s="157" t="n">
        <v>18</v>
      </c>
      <c r="F40" s="157"/>
      <c r="G40" s="153"/>
      <c r="H40" s="153" t="n">
        <f aca="false">F40+G40</f>
        <v>0</v>
      </c>
      <c r="I40" s="69" t="n">
        <f aca="false">E40*H40</f>
        <v>0</v>
      </c>
      <c r="J40" s="71" t="s">
        <v>53</v>
      </c>
      <c r="K40" s="118"/>
      <c r="L40" s="149"/>
    </row>
    <row r="41" customFormat="false" ht="134.25" hidden="false" customHeight="true" outlineLevel="1" collapsed="false">
      <c r="A41" s="65" t="n">
        <f aca="false">ROW()-6</f>
        <v>35</v>
      </c>
      <c r="B41" s="66" t="s">
        <v>315</v>
      </c>
      <c r="C41" s="67" t="s">
        <v>324</v>
      </c>
      <c r="D41" s="66" t="s">
        <v>317</v>
      </c>
      <c r="E41" s="157" t="n">
        <v>6</v>
      </c>
      <c r="F41" s="157"/>
      <c r="G41" s="153"/>
      <c r="H41" s="153" t="n">
        <f aca="false">F41+G41</f>
        <v>0</v>
      </c>
      <c r="I41" s="69" t="n">
        <f aca="false">E41*H41</f>
        <v>0</v>
      </c>
      <c r="J41" s="71" t="s">
        <v>53</v>
      </c>
      <c r="K41" s="118"/>
      <c r="L41" s="149"/>
    </row>
    <row r="42" customFormat="false" ht="134.25" hidden="false" customHeight="true" outlineLevel="1" collapsed="false">
      <c r="A42" s="65" t="n">
        <f aca="false">ROW()-6</f>
        <v>36</v>
      </c>
      <c r="B42" s="66" t="s">
        <v>315</v>
      </c>
      <c r="C42" s="67" t="s">
        <v>325</v>
      </c>
      <c r="D42" s="66" t="s">
        <v>317</v>
      </c>
      <c r="E42" s="157" t="n">
        <v>18</v>
      </c>
      <c r="F42" s="157"/>
      <c r="G42" s="153"/>
      <c r="H42" s="153" t="n">
        <f aca="false">F42+G42</f>
        <v>0</v>
      </c>
      <c r="I42" s="69" t="n">
        <f aca="false">E42*H42</f>
        <v>0</v>
      </c>
      <c r="J42" s="71" t="s">
        <v>53</v>
      </c>
      <c r="K42" s="118"/>
      <c r="L42" s="149"/>
    </row>
    <row r="43" customFormat="false" ht="134.25" hidden="false" customHeight="true" outlineLevel="1" collapsed="false">
      <c r="A43" s="65" t="n">
        <f aca="false">ROW()-6</f>
        <v>37</v>
      </c>
      <c r="B43" s="66" t="s">
        <v>315</v>
      </c>
      <c r="C43" s="67" t="s">
        <v>326</v>
      </c>
      <c r="D43" s="66" t="s">
        <v>317</v>
      </c>
      <c r="E43" s="157" t="n">
        <v>44</v>
      </c>
      <c r="F43" s="157"/>
      <c r="G43" s="153"/>
      <c r="H43" s="153" t="n">
        <f aca="false">F43+G43</f>
        <v>0</v>
      </c>
      <c r="I43" s="69" t="n">
        <f aca="false">E43*H43</f>
        <v>0</v>
      </c>
      <c r="J43" s="71" t="s">
        <v>53</v>
      </c>
      <c r="K43" s="118"/>
      <c r="L43" s="149"/>
    </row>
    <row r="44" customFormat="false" ht="134.25" hidden="false" customHeight="true" outlineLevel="1" collapsed="false">
      <c r="A44" s="65" t="n">
        <f aca="false">ROW()-6</f>
        <v>38</v>
      </c>
      <c r="B44" s="66" t="s">
        <v>315</v>
      </c>
      <c r="C44" s="67" t="s">
        <v>327</v>
      </c>
      <c r="D44" s="66" t="s">
        <v>317</v>
      </c>
      <c r="E44" s="157" t="n">
        <v>6</v>
      </c>
      <c r="F44" s="157"/>
      <c r="G44" s="153"/>
      <c r="H44" s="153" t="n">
        <f aca="false">F44+G44</f>
        <v>0</v>
      </c>
      <c r="I44" s="69" t="n">
        <f aca="false">E44*H44</f>
        <v>0</v>
      </c>
      <c r="J44" s="71" t="s">
        <v>53</v>
      </c>
      <c r="K44" s="118"/>
      <c r="L44" s="149"/>
    </row>
    <row r="45" customFormat="false" ht="111" hidden="false" customHeight="true" outlineLevel="1" collapsed="false">
      <c r="A45" s="65" t="n">
        <f aca="false">ROW()-6</f>
        <v>39</v>
      </c>
      <c r="B45" s="66" t="s">
        <v>328</v>
      </c>
      <c r="C45" s="67" t="s">
        <v>329</v>
      </c>
      <c r="D45" s="66" t="s">
        <v>102</v>
      </c>
      <c r="E45" s="157" t="n">
        <v>68</v>
      </c>
      <c r="F45" s="157"/>
      <c r="G45" s="153"/>
      <c r="H45" s="153" t="n">
        <f aca="false">F45+G45</f>
        <v>0</v>
      </c>
      <c r="I45" s="69" t="n">
        <f aca="false">E45*H45</f>
        <v>0</v>
      </c>
      <c r="J45" s="71" t="s">
        <v>53</v>
      </c>
      <c r="K45" s="118"/>
      <c r="L45" s="149"/>
    </row>
    <row r="46" customFormat="false" ht="111" hidden="false" customHeight="true" outlineLevel="1" collapsed="false">
      <c r="A46" s="65" t="n">
        <f aca="false">ROW()-6</f>
        <v>40</v>
      </c>
      <c r="B46" s="66" t="s">
        <v>328</v>
      </c>
      <c r="C46" s="67" t="s">
        <v>330</v>
      </c>
      <c r="D46" s="66" t="s">
        <v>102</v>
      </c>
      <c r="E46" s="157" t="n">
        <v>68</v>
      </c>
      <c r="F46" s="157"/>
      <c r="G46" s="153"/>
      <c r="H46" s="153" t="n">
        <f aca="false">F46+G46</f>
        <v>0</v>
      </c>
      <c r="I46" s="69" t="n">
        <f aca="false">E46*H46</f>
        <v>0</v>
      </c>
      <c r="J46" s="71" t="s">
        <v>53</v>
      </c>
      <c r="K46" s="118"/>
      <c r="L46" s="149"/>
    </row>
    <row r="47" customFormat="false" ht="111" hidden="false" customHeight="true" outlineLevel="1" collapsed="false">
      <c r="A47" s="65" t="n">
        <f aca="false">ROW()-6</f>
        <v>41</v>
      </c>
      <c r="B47" s="66" t="s">
        <v>331</v>
      </c>
      <c r="C47" s="67" t="s">
        <v>332</v>
      </c>
      <c r="D47" s="66" t="s">
        <v>102</v>
      </c>
      <c r="E47" s="157" t="n">
        <v>68</v>
      </c>
      <c r="F47" s="157"/>
      <c r="G47" s="153"/>
      <c r="H47" s="153" t="n">
        <f aca="false">F47+G47</f>
        <v>0</v>
      </c>
      <c r="I47" s="69" t="n">
        <f aca="false">E47*H47</f>
        <v>0</v>
      </c>
      <c r="J47" s="71" t="s">
        <v>53</v>
      </c>
      <c r="K47" s="118"/>
      <c r="L47" s="149"/>
    </row>
    <row r="48" customFormat="false" ht="111" hidden="false" customHeight="true" outlineLevel="1" collapsed="false">
      <c r="A48" s="65" t="n">
        <f aca="false">ROW()-6</f>
        <v>42</v>
      </c>
      <c r="B48" s="66" t="s">
        <v>333</v>
      </c>
      <c r="C48" s="67" t="s">
        <v>334</v>
      </c>
      <c r="D48" s="66" t="s">
        <v>102</v>
      </c>
      <c r="E48" s="157" t="n">
        <v>68</v>
      </c>
      <c r="F48" s="157"/>
      <c r="G48" s="153"/>
      <c r="H48" s="153" t="n">
        <f aca="false">F48+G48</f>
        <v>0</v>
      </c>
      <c r="I48" s="69" t="n">
        <f aca="false">E48*H48</f>
        <v>0</v>
      </c>
      <c r="J48" s="71" t="s">
        <v>53</v>
      </c>
      <c r="K48" s="118"/>
      <c r="L48" s="149"/>
    </row>
    <row r="49" customFormat="false" ht="64.5" hidden="false" customHeight="true" outlineLevel="1" collapsed="false">
      <c r="A49" s="65" t="n">
        <f aca="false">ROW()-6</f>
        <v>43</v>
      </c>
      <c r="B49" s="66" t="s">
        <v>335</v>
      </c>
      <c r="C49" s="67" t="s">
        <v>336</v>
      </c>
      <c r="D49" s="86" t="s">
        <v>66</v>
      </c>
      <c r="E49" s="157" t="n">
        <v>7836</v>
      </c>
      <c r="F49" s="157"/>
      <c r="G49" s="153"/>
      <c r="H49" s="153" t="n">
        <f aca="false">F49+G49</f>
        <v>0</v>
      </c>
      <c r="I49" s="69" t="n">
        <f aca="false">E49*H49</f>
        <v>0</v>
      </c>
      <c r="J49" s="71" t="s">
        <v>53</v>
      </c>
      <c r="K49" s="118"/>
      <c r="L49" s="149"/>
    </row>
    <row r="50" customFormat="false" ht="111" hidden="false" customHeight="true" outlineLevel="1" collapsed="false">
      <c r="A50" s="65" t="n">
        <f aca="false">ROW()-6</f>
        <v>44</v>
      </c>
      <c r="B50" s="66" t="s">
        <v>337</v>
      </c>
      <c r="C50" s="67" t="s">
        <v>338</v>
      </c>
      <c r="D50" s="66" t="s">
        <v>102</v>
      </c>
      <c r="E50" s="68" t="n">
        <v>480</v>
      </c>
      <c r="F50" s="68"/>
      <c r="G50" s="153"/>
      <c r="H50" s="153" t="n">
        <f aca="false">F50+G50</f>
        <v>0</v>
      </c>
      <c r="I50" s="69" t="n">
        <f aca="false">E50*H50</f>
        <v>0</v>
      </c>
      <c r="J50" s="71" t="s">
        <v>53</v>
      </c>
      <c r="K50" s="118"/>
      <c r="L50" s="149"/>
    </row>
    <row r="51" customFormat="false" ht="111" hidden="false" customHeight="true" outlineLevel="1" collapsed="false">
      <c r="A51" s="65" t="n">
        <f aca="false">ROW()-6</f>
        <v>45</v>
      </c>
      <c r="B51" s="66" t="s">
        <v>339</v>
      </c>
      <c r="C51" s="67" t="s">
        <v>340</v>
      </c>
      <c r="D51" s="66" t="s">
        <v>102</v>
      </c>
      <c r="E51" s="68" t="n">
        <v>240</v>
      </c>
      <c r="F51" s="68"/>
      <c r="G51" s="153"/>
      <c r="H51" s="153" t="n">
        <f aca="false">F51+G51</f>
        <v>0</v>
      </c>
      <c r="I51" s="69" t="n">
        <f aca="false">E51*H51</f>
        <v>0</v>
      </c>
      <c r="J51" s="71" t="s">
        <v>53</v>
      </c>
      <c r="K51" s="118"/>
      <c r="L51" s="149"/>
    </row>
    <row r="52" customFormat="false" ht="111" hidden="false" customHeight="true" outlineLevel="1" collapsed="false">
      <c r="A52" s="65" t="n">
        <f aca="false">ROW()-6</f>
        <v>46</v>
      </c>
      <c r="B52" s="66" t="s">
        <v>341</v>
      </c>
      <c r="C52" s="67" t="s">
        <v>342</v>
      </c>
      <c r="D52" s="66" t="s">
        <v>102</v>
      </c>
      <c r="E52" s="68" t="n">
        <v>16</v>
      </c>
      <c r="F52" s="68"/>
      <c r="G52" s="153"/>
      <c r="H52" s="153" t="n">
        <f aca="false">F52+G52</f>
        <v>0</v>
      </c>
      <c r="I52" s="69" t="n">
        <f aca="false">E52*H52</f>
        <v>0</v>
      </c>
      <c r="J52" s="71" t="s">
        <v>53</v>
      </c>
      <c r="K52" s="118"/>
      <c r="L52" s="149"/>
    </row>
    <row r="53" customFormat="false" ht="111" hidden="false" customHeight="true" outlineLevel="1" collapsed="false">
      <c r="A53" s="65" t="n">
        <f aca="false">ROW()-6</f>
        <v>47</v>
      </c>
      <c r="B53" s="66" t="s">
        <v>341</v>
      </c>
      <c r="C53" s="67" t="s">
        <v>343</v>
      </c>
      <c r="D53" s="66" t="s">
        <v>102</v>
      </c>
      <c r="E53" s="68" t="n">
        <v>6</v>
      </c>
      <c r="F53" s="68"/>
      <c r="G53" s="153"/>
      <c r="H53" s="153" t="n">
        <f aca="false">F53+G53</f>
        <v>0</v>
      </c>
      <c r="I53" s="69" t="n">
        <f aca="false">E53*H53</f>
        <v>0</v>
      </c>
      <c r="J53" s="71" t="s">
        <v>53</v>
      </c>
      <c r="K53" s="118"/>
      <c r="L53" s="149"/>
    </row>
    <row r="54" customFormat="false" ht="111" hidden="false" customHeight="true" outlineLevel="1" collapsed="false">
      <c r="A54" s="65" t="n">
        <f aca="false">ROW()-6</f>
        <v>48</v>
      </c>
      <c r="B54" s="88" t="s">
        <v>344</v>
      </c>
      <c r="C54" s="67" t="s">
        <v>345</v>
      </c>
      <c r="D54" s="66" t="s">
        <v>102</v>
      </c>
      <c r="E54" s="157" t="n">
        <v>1</v>
      </c>
      <c r="F54" s="157"/>
      <c r="G54" s="153"/>
      <c r="H54" s="153" t="n">
        <f aca="false">F54+G54</f>
        <v>0</v>
      </c>
      <c r="I54" s="69" t="n">
        <f aca="false">E54*H54</f>
        <v>0</v>
      </c>
      <c r="J54" s="71" t="s">
        <v>53</v>
      </c>
      <c r="K54" s="118"/>
      <c r="L54" s="149"/>
    </row>
    <row r="55" customFormat="false" ht="111" hidden="false" customHeight="true" outlineLevel="1" collapsed="false">
      <c r="A55" s="65" t="n">
        <f aca="false">ROW()-6</f>
        <v>49</v>
      </c>
      <c r="B55" s="88" t="s">
        <v>344</v>
      </c>
      <c r="C55" s="67" t="s">
        <v>346</v>
      </c>
      <c r="D55" s="66" t="s">
        <v>102</v>
      </c>
      <c r="E55" s="157" t="n">
        <v>6</v>
      </c>
      <c r="F55" s="157"/>
      <c r="G55" s="153"/>
      <c r="H55" s="153" t="n">
        <f aca="false">F55+G55</f>
        <v>0</v>
      </c>
      <c r="I55" s="69" t="n">
        <f aca="false">E55*H55</f>
        <v>0</v>
      </c>
      <c r="J55" s="71" t="s">
        <v>53</v>
      </c>
      <c r="K55" s="118"/>
      <c r="L55" s="149"/>
    </row>
    <row r="56" customFormat="false" ht="111" hidden="false" customHeight="true" outlineLevel="1" collapsed="false">
      <c r="A56" s="65" t="n">
        <f aca="false">ROW()-6</f>
        <v>50</v>
      </c>
      <c r="B56" s="66" t="s">
        <v>347</v>
      </c>
      <c r="C56" s="67" t="s">
        <v>348</v>
      </c>
      <c r="D56" s="66" t="s">
        <v>102</v>
      </c>
      <c r="E56" s="157" t="n">
        <v>10</v>
      </c>
      <c r="F56" s="157"/>
      <c r="G56" s="153"/>
      <c r="H56" s="153" t="n">
        <f aca="false">F56+G56</f>
        <v>0</v>
      </c>
      <c r="I56" s="69" t="n">
        <f aca="false">E56*H56</f>
        <v>0</v>
      </c>
      <c r="J56" s="71" t="s">
        <v>53</v>
      </c>
      <c r="K56" s="118"/>
      <c r="L56" s="149"/>
    </row>
    <row r="57" customFormat="false" ht="111" hidden="false" customHeight="true" outlineLevel="1" collapsed="false">
      <c r="A57" s="65" t="n">
        <f aca="false">ROW()-6</f>
        <v>51</v>
      </c>
      <c r="B57" s="66" t="s">
        <v>347</v>
      </c>
      <c r="C57" s="67" t="s">
        <v>349</v>
      </c>
      <c r="D57" s="66" t="s">
        <v>102</v>
      </c>
      <c r="E57" s="157" t="n">
        <v>48</v>
      </c>
      <c r="F57" s="157"/>
      <c r="G57" s="153"/>
      <c r="H57" s="153" t="n">
        <f aca="false">F57+G57</f>
        <v>0</v>
      </c>
      <c r="I57" s="69" t="n">
        <f aca="false">E57*H57</f>
        <v>0</v>
      </c>
      <c r="J57" s="71" t="s">
        <v>53</v>
      </c>
      <c r="K57" s="118"/>
      <c r="L57" s="149"/>
    </row>
    <row r="58" customFormat="false" ht="111" hidden="false" customHeight="true" outlineLevel="1" collapsed="false">
      <c r="A58" s="65" t="n">
        <f aca="false">ROW()-6</f>
        <v>52</v>
      </c>
      <c r="B58" s="66" t="s">
        <v>347</v>
      </c>
      <c r="C58" s="67" t="s">
        <v>350</v>
      </c>
      <c r="D58" s="66" t="s">
        <v>102</v>
      </c>
      <c r="E58" s="157" t="n">
        <v>110</v>
      </c>
      <c r="F58" s="157"/>
      <c r="G58" s="153"/>
      <c r="H58" s="153" t="n">
        <f aca="false">F58+G58</f>
        <v>0</v>
      </c>
      <c r="I58" s="69" t="n">
        <f aca="false">E58*H58</f>
        <v>0</v>
      </c>
      <c r="J58" s="71" t="s">
        <v>53</v>
      </c>
      <c r="K58" s="118"/>
      <c r="L58" s="149"/>
    </row>
    <row r="59" customFormat="false" ht="111" hidden="false" customHeight="true" outlineLevel="1" collapsed="false">
      <c r="A59" s="65" t="n">
        <f aca="false">ROW()-6</f>
        <v>53</v>
      </c>
      <c r="B59" s="66" t="s">
        <v>347</v>
      </c>
      <c r="C59" s="67" t="s">
        <v>351</v>
      </c>
      <c r="D59" s="66" t="s">
        <v>102</v>
      </c>
      <c r="E59" s="157" t="n">
        <v>20</v>
      </c>
      <c r="F59" s="157"/>
      <c r="G59" s="153"/>
      <c r="H59" s="153" t="n">
        <f aca="false">F59+G59</f>
        <v>0</v>
      </c>
      <c r="I59" s="69" t="n">
        <f aca="false">E59*H59</f>
        <v>0</v>
      </c>
      <c r="J59" s="71" t="s">
        <v>53</v>
      </c>
      <c r="K59" s="118"/>
      <c r="L59" s="149"/>
    </row>
    <row r="60" customFormat="false" ht="111" hidden="false" customHeight="true" outlineLevel="1" collapsed="false">
      <c r="A60" s="65" t="n">
        <f aca="false">ROW()-6</f>
        <v>54</v>
      </c>
      <c r="B60" s="66" t="s">
        <v>347</v>
      </c>
      <c r="C60" s="67" t="s">
        <v>352</v>
      </c>
      <c r="D60" s="66" t="s">
        <v>102</v>
      </c>
      <c r="E60" s="157" t="n">
        <v>480</v>
      </c>
      <c r="F60" s="157"/>
      <c r="G60" s="153"/>
      <c r="H60" s="153" t="n">
        <f aca="false">F60+G60</f>
        <v>0</v>
      </c>
      <c r="I60" s="69" t="n">
        <f aca="false">E60*H60</f>
        <v>0</v>
      </c>
      <c r="J60" s="71" t="s">
        <v>53</v>
      </c>
      <c r="K60" s="118"/>
      <c r="L60" s="149"/>
    </row>
    <row r="61" customFormat="false" ht="111" hidden="false" customHeight="true" outlineLevel="1" collapsed="false">
      <c r="A61" s="65" t="n">
        <f aca="false">ROW()-6</f>
        <v>55</v>
      </c>
      <c r="B61" s="66" t="s">
        <v>347</v>
      </c>
      <c r="C61" s="67" t="s">
        <v>353</v>
      </c>
      <c r="D61" s="66" t="s">
        <v>102</v>
      </c>
      <c r="E61" s="157" t="n">
        <v>20</v>
      </c>
      <c r="F61" s="157"/>
      <c r="G61" s="153"/>
      <c r="H61" s="153" t="n">
        <f aca="false">F61+G61</f>
        <v>0</v>
      </c>
      <c r="I61" s="69" t="n">
        <f aca="false">E61*H61</f>
        <v>0</v>
      </c>
      <c r="J61" s="71" t="s">
        <v>53</v>
      </c>
      <c r="K61" s="118"/>
      <c r="L61" s="149"/>
    </row>
    <row r="62" customFormat="false" ht="87.75" hidden="false" customHeight="true" outlineLevel="1" collapsed="false">
      <c r="A62" s="65" t="n">
        <f aca="false">ROW()-6</f>
        <v>56</v>
      </c>
      <c r="B62" s="66" t="s">
        <v>354</v>
      </c>
      <c r="C62" s="67" t="s">
        <v>355</v>
      </c>
      <c r="D62" s="66" t="s">
        <v>301</v>
      </c>
      <c r="E62" s="155" t="n">
        <v>158.5</v>
      </c>
      <c r="F62" s="155"/>
      <c r="G62" s="153"/>
      <c r="H62" s="153" t="n">
        <f aca="false">F62+G62</f>
        <v>0</v>
      </c>
      <c r="I62" s="69" t="n">
        <f aca="false">E62*H62</f>
        <v>0</v>
      </c>
      <c r="J62" s="71" t="s">
        <v>53</v>
      </c>
      <c r="K62" s="118"/>
      <c r="L62" s="149"/>
    </row>
    <row r="63" customFormat="false" ht="40.5" hidden="false" customHeight="true" outlineLevel="1" collapsed="false">
      <c r="A63" s="65" t="n">
        <f aca="false">ROW()-6</f>
        <v>57</v>
      </c>
      <c r="B63" s="66" t="s">
        <v>356</v>
      </c>
      <c r="C63" s="102" t="s">
        <v>357</v>
      </c>
      <c r="D63" s="66" t="s">
        <v>170</v>
      </c>
      <c r="E63" s="68" t="n">
        <v>1</v>
      </c>
      <c r="F63" s="68"/>
      <c r="G63" s="153"/>
      <c r="H63" s="153" t="n">
        <f aca="false">F63+G63</f>
        <v>0</v>
      </c>
      <c r="I63" s="69" t="n">
        <f aca="false">E63*H63</f>
        <v>0</v>
      </c>
      <c r="J63" s="83"/>
      <c r="K63" s="118"/>
      <c r="L63" s="149"/>
    </row>
    <row r="64" s="39" customFormat="true" ht="29.25" hidden="false" customHeight="true" outlineLevel="0" collapsed="false">
      <c r="A64" s="65"/>
      <c r="B64" s="79" t="s">
        <v>57</v>
      </c>
      <c r="C64" s="102"/>
      <c r="D64" s="86"/>
      <c r="E64" s="80"/>
      <c r="F64" s="80"/>
      <c r="G64" s="81"/>
      <c r="H64" s="81"/>
      <c r="I64" s="82" t="n">
        <f aca="false">SUM(I25:I63)</f>
        <v>0</v>
      </c>
      <c r="J64" s="83"/>
      <c r="K64" s="118"/>
      <c r="L64" s="149"/>
    </row>
    <row r="65" s="39" customFormat="true" ht="29.25" hidden="false" customHeight="true" outlineLevel="0" collapsed="false">
      <c r="A65" s="84" t="s">
        <v>171</v>
      </c>
      <c r="B65" s="79" t="s">
        <v>59</v>
      </c>
      <c r="C65" s="152"/>
      <c r="D65" s="79"/>
      <c r="E65" s="80"/>
      <c r="F65" s="80"/>
      <c r="G65" s="81"/>
      <c r="H65" s="81"/>
      <c r="I65" s="82"/>
      <c r="J65" s="158"/>
      <c r="K65" s="118"/>
      <c r="L65" s="149"/>
    </row>
    <row r="66" customFormat="false" ht="263.25" hidden="false" customHeight="true" outlineLevel="1" collapsed="false">
      <c r="A66" s="65" t="n">
        <f aca="false">ROW()-8</f>
        <v>58</v>
      </c>
      <c r="B66" s="66" t="s">
        <v>64</v>
      </c>
      <c r="C66" s="67" t="s">
        <v>358</v>
      </c>
      <c r="D66" s="86" t="s">
        <v>66</v>
      </c>
      <c r="E66" s="155" t="n">
        <v>54</v>
      </c>
      <c r="F66" s="155"/>
      <c r="G66" s="153"/>
      <c r="H66" s="153" t="n">
        <f aca="false">F66+G66</f>
        <v>0</v>
      </c>
      <c r="I66" s="69" t="n">
        <f aca="false">E66*H66</f>
        <v>0</v>
      </c>
      <c r="J66" s="71" t="s">
        <v>359</v>
      </c>
      <c r="K66" s="118"/>
      <c r="L66" s="149"/>
    </row>
    <row r="67" customFormat="false" ht="263.25" hidden="false" customHeight="true" outlineLevel="1" collapsed="false">
      <c r="A67" s="65" t="n">
        <f aca="false">ROW()-8</f>
        <v>59</v>
      </c>
      <c r="B67" s="66" t="s">
        <v>68</v>
      </c>
      <c r="C67" s="67" t="s">
        <v>360</v>
      </c>
      <c r="D67" s="86" t="s">
        <v>66</v>
      </c>
      <c r="E67" s="155" t="n">
        <v>282</v>
      </c>
      <c r="F67" s="155"/>
      <c r="G67" s="153"/>
      <c r="H67" s="153" t="n">
        <f aca="false">F67+G67</f>
        <v>0</v>
      </c>
      <c r="I67" s="69" t="n">
        <f aca="false">E67*H67</f>
        <v>0</v>
      </c>
      <c r="J67" s="71" t="s">
        <v>70</v>
      </c>
      <c r="K67" s="118"/>
      <c r="L67" s="149"/>
    </row>
    <row r="68" customFormat="false" ht="263.25" hidden="false" customHeight="true" outlineLevel="1" collapsed="false">
      <c r="A68" s="65" t="n">
        <f aca="false">ROW()-8</f>
        <v>60</v>
      </c>
      <c r="B68" s="66" t="s">
        <v>68</v>
      </c>
      <c r="C68" s="67" t="s">
        <v>361</v>
      </c>
      <c r="D68" s="86" t="s">
        <v>66</v>
      </c>
      <c r="E68" s="155" t="n">
        <v>792</v>
      </c>
      <c r="F68" s="155"/>
      <c r="G68" s="153"/>
      <c r="H68" s="153" t="n">
        <f aca="false">F68+G68</f>
        <v>0</v>
      </c>
      <c r="I68" s="69" t="n">
        <f aca="false">E68*H68</f>
        <v>0</v>
      </c>
      <c r="J68" s="71" t="s">
        <v>70</v>
      </c>
      <c r="K68" s="118"/>
      <c r="L68" s="149"/>
    </row>
    <row r="69" customFormat="false" ht="263.25" hidden="false" customHeight="true" outlineLevel="1" collapsed="false">
      <c r="A69" s="65" t="n">
        <f aca="false">ROW()-8</f>
        <v>61</v>
      </c>
      <c r="B69" s="66" t="s">
        <v>68</v>
      </c>
      <c r="C69" s="67" t="s">
        <v>362</v>
      </c>
      <c r="D69" s="86" t="s">
        <v>66</v>
      </c>
      <c r="E69" s="155" t="n">
        <v>690</v>
      </c>
      <c r="F69" s="155"/>
      <c r="G69" s="153"/>
      <c r="H69" s="153" t="n">
        <f aca="false">F69+G69</f>
        <v>0</v>
      </c>
      <c r="I69" s="69" t="n">
        <f aca="false">E69*H69</f>
        <v>0</v>
      </c>
      <c r="J69" s="71" t="s">
        <v>70</v>
      </c>
      <c r="K69" s="118"/>
      <c r="L69" s="149"/>
    </row>
    <row r="70" customFormat="false" ht="263.25" hidden="false" customHeight="true" outlineLevel="1" collapsed="false">
      <c r="A70" s="65" t="n">
        <f aca="false">ROW()-8</f>
        <v>62</v>
      </c>
      <c r="B70" s="66" t="s">
        <v>68</v>
      </c>
      <c r="C70" s="67" t="s">
        <v>363</v>
      </c>
      <c r="D70" s="86" t="s">
        <v>66</v>
      </c>
      <c r="E70" s="155" t="n">
        <v>246</v>
      </c>
      <c r="F70" s="155"/>
      <c r="G70" s="153"/>
      <c r="H70" s="153" t="n">
        <f aca="false">F70+G70</f>
        <v>0</v>
      </c>
      <c r="I70" s="69" t="n">
        <f aca="false">E70*H70</f>
        <v>0</v>
      </c>
      <c r="J70" s="71" t="s">
        <v>70</v>
      </c>
      <c r="K70" s="118"/>
      <c r="L70" s="149"/>
    </row>
    <row r="71" customFormat="false" ht="263.25" hidden="false" customHeight="true" outlineLevel="1" collapsed="false">
      <c r="A71" s="65" t="n">
        <f aca="false">ROW()-8</f>
        <v>63</v>
      </c>
      <c r="B71" s="66" t="s">
        <v>68</v>
      </c>
      <c r="C71" s="67" t="s">
        <v>364</v>
      </c>
      <c r="D71" s="86" t="s">
        <v>66</v>
      </c>
      <c r="E71" s="155" t="n">
        <v>204</v>
      </c>
      <c r="F71" s="155"/>
      <c r="G71" s="153"/>
      <c r="H71" s="153" t="n">
        <f aca="false">F71+G71</f>
        <v>0</v>
      </c>
      <c r="I71" s="69" t="n">
        <f aca="false">E71*H71</f>
        <v>0</v>
      </c>
      <c r="J71" s="71" t="s">
        <v>70</v>
      </c>
      <c r="K71" s="118"/>
      <c r="L71" s="149"/>
    </row>
    <row r="72" customFormat="false" ht="263.25" hidden="false" customHeight="true" outlineLevel="1" collapsed="false">
      <c r="A72" s="65" t="n">
        <f aca="false">ROW()-8</f>
        <v>64</v>
      </c>
      <c r="B72" s="66" t="s">
        <v>68</v>
      </c>
      <c r="C72" s="67" t="s">
        <v>365</v>
      </c>
      <c r="D72" s="86" t="s">
        <v>66</v>
      </c>
      <c r="E72" s="155" t="n">
        <v>768</v>
      </c>
      <c r="F72" s="155"/>
      <c r="G72" s="153"/>
      <c r="H72" s="153" t="n">
        <f aca="false">F72+G72</f>
        <v>0</v>
      </c>
      <c r="I72" s="69" t="n">
        <f aca="false">E72*H72</f>
        <v>0</v>
      </c>
      <c r="J72" s="71" t="s">
        <v>70</v>
      </c>
      <c r="K72" s="118"/>
      <c r="L72" s="149"/>
    </row>
    <row r="73" customFormat="false" ht="263.25" hidden="false" customHeight="true" outlineLevel="1" collapsed="false">
      <c r="A73" s="65" t="n">
        <f aca="false">ROW()-8</f>
        <v>65</v>
      </c>
      <c r="B73" s="66" t="s">
        <v>68</v>
      </c>
      <c r="C73" s="67" t="s">
        <v>366</v>
      </c>
      <c r="D73" s="86" t="s">
        <v>66</v>
      </c>
      <c r="E73" s="155" t="n">
        <v>150</v>
      </c>
      <c r="F73" s="155"/>
      <c r="G73" s="153"/>
      <c r="H73" s="153" t="n">
        <f aca="false">F73+G73</f>
        <v>0</v>
      </c>
      <c r="I73" s="69" t="n">
        <f aca="false">E73*H73</f>
        <v>0</v>
      </c>
      <c r="J73" s="71" t="s">
        <v>70</v>
      </c>
      <c r="K73" s="118"/>
      <c r="L73" s="149"/>
    </row>
    <row r="74" customFormat="false" ht="263.25" hidden="false" customHeight="true" outlineLevel="1" collapsed="false">
      <c r="A74" s="65" t="n">
        <f aca="false">ROW()-8</f>
        <v>66</v>
      </c>
      <c r="B74" s="66" t="s">
        <v>68</v>
      </c>
      <c r="C74" s="67" t="s">
        <v>367</v>
      </c>
      <c r="D74" s="86" t="s">
        <v>66</v>
      </c>
      <c r="E74" s="155" t="n">
        <v>648</v>
      </c>
      <c r="F74" s="155"/>
      <c r="G74" s="153"/>
      <c r="H74" s="153" t="n">
        <f aca="false">F74+G74</f>
        <v>0</v>
      </c>
      <c r="I74" s="69" t="n">
        <f aca="false">E74*H74</f>
        <v>0</v>
      </c>
      <c r="J74" s="71" t="s">
        <v>70</v>
      </c>
      <c r="K74" s="118"/>
      <c r="L74" s="149"/>
    </row>
    <row r="75" customFormat="false" ht="263.25" hidden="false" customHeight="true" outlineLevel="1" collapsed="false">
      <c r="A75" s="65" t="n">
        <f aca="false">ROW()-8</f>
        <v>67</v>
      </c>
      <c r="B75" s="66" t="s">
        <v>68</v>
      </c>
      <c r="C75" s="67" t="s">
        <v>368</v>
      </c>
      <c r="D75" s="86" t="s">
        <v>66</v>
      </c>
      <c r="E75" s="155" t="n">
        <v>150</v>
      </c>
      <c r="F75" s="155"/>
      <c r="G75" s="153"/>
      <c r="H75" s="153" t="n">
        <f aca="false">F75+G75</f>
        <v>0</v>
      </c>
      <c r="I75" s="69" t="n">
        <f aca="false">E75*H75</f>
        <v>0</v>
      </c>
      <c r="J75" s="71" t="s">
        <v>70</v>
      </c>
      <c r="K75" s="118"/>
      <c r="L75" s="149"/>
    </row>
    <row r="76" customFormat="false" ht="263.25" hidden="false" customHeight="true" outlineLevel="1" collapsed="false">
      <c r="A76" s="65" t="n">
        <f aca="false">ROW()-8</f>
        <v>68</v>
      </c>
      <c r="B76" s="66" t="s">
        <v>68</v>
      </c>
      <c r="C76" s="67" t="s">
        <v>369</v>
      </c>
      <c r="D76" s="86" t="s">
        <v>66</v>
      </c>
      <c r="E76" s="155" t="n">
        <v>162</v>
      </c>
      <c r="F76" s="155"/>
      <c r="G76" s="153"/>
      <c r="H76" s="153" t="n">
        <f aca="false">F76+G76</f>
        <v>0</v>
      </c>
      <c r="I76" s="69" t="n">
        <f aca="false">E76*H76</f>
        <v>0</v>
      </c>
      <c r="J76" s="71" t="s">
        <v>70</v>
      </c>
      <c r="K76" s="118"/>
      <c r="L76" s="149"/>
    </row>
    <row r="77" customFormat="false" ht="263.25" hidden="false" customHeight="true" outlineLevel="1" collapsed="false">
      <c r="A77" s="65" t="n">
        <f aca="false">ROW()-8</f>
        <v>69</v>
      </c>
      <c r="B77" s="66" t="s">
        <v>68</v>
      </c>
      <c r="C77" s="67" t="s">
        <v>370</v>
      </c>
      <c r="D77" s="86" t="s">
        <v>66</v>
      </c>
      <c r="E77" s="155" t="n">
        <v>234</v>
      </c>
      <c r="F77" s="155"/>
      <c r="G77" s="153"/>
      <c r="H77" s="153" t="n">
        <f aca="false">F77+G77</f>
        <v>0</v>
      </c>
      <c r="I77" s="69" t="n">
        <f aca="false">E77*H77</f>
        <v>0</v>
      </c>
      <c r="J77" s="71" t="s">
        <v>70</v>
      </c>
      <c r="K77" s="118"/>
      <c r="L77" s="149"/>
    </row>
    <row r="78" customFormat="false" ht="263.25" hidden="false" customHeight="true" outlineLevel="1" collapsed="false">
      <c r="A78" s="65" t="n">
        <f aca="false">ROW()-8</f>
        <v>70</v>
      </c>
      <c r="B78" s="66" t="s">
        <v>68</v>
      </c>
      <c r="C78" s="67" t="s">
        <v>371</v>
      </c>
      <c r="D78" s="86" t="s">
        <v>66</v>
      </c>
      <c r="E78" s="155" t="n">
        <v>36</v>
      </c>
      <c r="F78" s="155"/>
      <c r="G78" s="153"/>
      <c r="H78" s="153" t="n">
        <f aca="false">F78+G78</f>
        <v>0</v>
      </c>
      <c r="I78" s="69" t="n">
        <f aca="false">E78*H78</f>
        <v>0</v>
      </c>
      <c r="J78" s="71" t="s">
        <v>70</v>
      </c>
      <c r="K78" s="118"/>
      <c r="L78" s="149"/>
    </row>
    <row r="79" customFormat="false" ht="263.25" hidden="false" customHeight="true" outlineLevel="1" collapsed="false">
      <c r="A79" s="65" t="n">
        <f aca="false">ROW()-8</f>
        <v>71</v>
      </c>
      <c r="B79" s="66" t="s">
        <v>68</v>
      </c>
      <c r="C79" s="67" t="s">
        <v>372</v>
      </c>
      <c r="D79" s="86" t="s">
        <v>66</v>
      </c>
      <c r="E79" s="155" t="n">
        <v>354</v>
      </c>
      <c r="F79" s="155"/>
      <c r="G79" s="153"/>
      <c r="H79" s="153" t="n">
        <f aca="false">F79+G79</f>
        <v>0</v>
      </c>
      <c r="I79" s="69" t="n">
        <f aca="false">E79*H79</f>
        <v>0</v>
      </c>
      <c r="J79" s="71" t="s">
        <v>70</v>
      </c>
      <c r="K79" s="118"/>
      <c r="L79" s="149"/>
    </row>
    <row r="80" customFormat="false" ht="157.5" hidden="false" customHeight="true" outlineLevel="1" collapsed="false">
      <c r="A80" s="65" t="n">
        <f aca="false">ROW()-8</f>
        <v>72</v>
      </c>
      <c r="B80" s="66" t="s">
        <v>373</v>
      </c>
      <c r="C80" s="67" t="s">
        <v>374</v>
      </c>
      <c r="D80" s="86" t="s">
        <v>66</v>
      </c>
      <c r="E80" s="155" t="n">
        <v>72</v>
      </c>
      <c r="F80" s="155"/>
      <c r="G80" s="153"/>
      <c r="H80" s="153" t="n">
        <f aca="false">F80+G80</f>
        <v>0</v>
      </c>
      <c r="I80" s="69" t="n">
        <f aca="false">E80*H80</f>
        <v>0</v>
      </c>
      <c r="J80" s="72" t="s">
        <v>375</v>
      </c>
      <c r="K80" s="118"/>
      <c r="L80" s="149"/>
    </row>
    <row r="81" customFormat="false" ht="157.5" hidden="false" customHeight="true" outlineLevel="1" collapsed="false">
      <c r="A81" s="65" t="n">
        <f aca="false">ROW()-8</f>
        <v>73</v>
      </c>
      <c r="B81" s="66" t="s">
        <v>373</v>
      </c>
      <c r="C81" s="67" t="s">
        <v>376</v>
      </c>
      <c r="D81" s="86" t="s">
        <v>66</v>
      </c>
      <c r="E81" s="155" t="n">
        <v>208</v>
      </c>
      <c r="F81" s="155"/>
      <c r="G81" s="153"/>
      <c r="H81" s="153" t="n">
        <f aca="false">F81+G81</f>
        <v>0</v>
      </c>
      <c r="I81" s="69" t="n">
        <f aca="false">E81*H81</f>
        <v>0</v>
      </c>
      <c r="J81" s="72" t="s">
        <v>375</v>
      </c>
      <c r="K81" s="118"/>
      <c r="L81" s="149"/>
    </row>
    <row r="82" customFormat="false" ht="157.5" hidden="false" customHeight="true" outlineLevel="1" collapsed="false">
      <c r="A82" s="65" t="n">
        <f aca="false">ROW()-8</f>
        <v>74</v>
      </c>
      <c r="B82" s="66" t="s">
        <v>373</v>
      </c>
      <c r="C82" s="67" t="s">
        <v>377</v>
      </c>
      <c r="D82" s="86" t="s">
        <v>66</v>
      </c>
      <c r="E82" s="155" t="n">
        <v>228</v>
      </c>
      <c r="F82" s="155"/>
      <c r="G82" s="153"/>
      <c r="H82" s="153" t="n">
        <f aca="false">F82+G82</f>
        <v>0</v>
      </c>
      <c r="I82" s="69" t="n">
        <f aca="false">E82*H82</f>
        <v>0</v>
      </c>
      <c r="J82" s="72" t="s">
        <v>375</v>
      </c>
      <c r="K82" s="118"/>
      <c r="L82" s="149"/>
    </row>
    <row r="83" customFormat="false" ht="157.5" hidden="false" customHeight="true" outlineLevel="1" collapsed="false">
      <c r="A83" s="65" t="n">
        <f aca="false">ROW()-8</f>
        <v>75</v>
      </c>
      <c r="B83" s="66" t="s">
        <v>373</v>
      </c>
      <c r="C83" s="67" t="s">
        <v>378</v>
      </c>
      <c r="D83" s="86" t="s">
        <v>66</v>
      </c>
      <c r="E83" s="155" t="n">
        <v>124</v>
      </c>
      <c r="F83" s="155"/>
      <c r="G83" s="153"/>
      <c r="H83" s="153" t="n">
        <f aca="false">F83+G83</f>
        <v>0</v>
      </c>
      <c r="I83" s="69" t="n">
        <f aca="false">E83*H83</f>
        <v>0</v>
      </c>
      <c r="J83" s="72" t="s">
        <v>375</v>
      </c>
      <c r="K83" s="118"/>
      <c r="L83" s="149"/>
    </row>
    <row r="84" customFormat="false" ht="157.5" hidden="false" customHeight="true" outlineLevel="1" collapsed="false">
      <c r="A84" s="65" t="n">
        <f aca="false">ROW()-8</f>
        <v>76</v>
      </c>
      <c r="B84" s="66" t="s">
        <v>373</v>
      </c>
      <c r="C84" s="67" t="s">
        <v>379</v>
      </c>
      <c r="D84" s="86" t="s">
        <v>66</v>
      </c>
      <c r="E84" s="155" t="n">
        <v>196</v>
      </c>
      <c r="F84" s="155"/>
      <c r="G84" s="153"/>
      <c r="H84" s="153" t="n">
        <f aca="false">F84+G84</f>
        <v>0</v>
      </c>
      <c r="I84" s="69" t="n">
        <f aca="false">E84*H84</f>
        <v>0</v>
      </c>
      <c r="J84" s="72" t="s">
        <v>375</v>
      </c>
      <c r="K84" s="118"/>
      <c r="L84" s="149"/>
    </row>
    <row r="85" customFormat="false" ht="157.5" hidden="false" customHeight="true" outlineLevel="1" collapsed="false">
      <c r="A85" s="65" t="n">
        <f aca="false">ROW()-8</f>
        <v>77</v>
      </c>
      <c r="B85" s="66" t="s">
        <v>380</v>
      </c>
      <c r="C85" s="67" t="s">
        <v>381</v>
      </c>
      <c r="D85" s="86" t="s">
        <v>66</v>
      </c>
      <c r="E85" s="155" t="n">
        <v>116</v>
      </c>
      <c r="F85" s="155"/>
      <c r="G85" s="153"/>
      <c r="H85" s="153" t="n">
        <f aca="false">F85+G85</f>
        <v>0</v>
      </c>
      <c r="I85" s="69" t="n">
        <f aca="false">E85*H85</f>
        <v>0</v>
      </c>
      <c r="J85" s="72" t="s">
        <v>375</v>
      </c>
      <c r="K85" s="118"/>
      <c r="L85" s="149"/>
    </row>
    <row r="86" customFormat="false" ht="157.5" hidden="false" customHeight="true" outlineLevel="1" collapsed="false">
      <c r="A86" s="65" t="n">
        <f aca="false">ROW()-8</f>
        <v>78</v>
      </c>
      <c r="B86" s="66" t="s">
        <v>380</v>
      </c>
      <c r="C86" s="67" t="s">
        <v>382</v>
      </c>
      <c r="D86" s="86" t="s">
        <v>66</v>
      </c>
      <c r="E86" s="155" t="n">
        <v>90</v>
      </c>
      <c r="F86" s="155"/>
      <c r="G86" s="153"/>
      <c r="H86" s="153" t="n">
        <f aca="false">F86+G86</f>
        <v>0</v>
      </c>
      <c r="I86" s="69" t="n">
        <f aca="false">E86*H86</f>
        <v>0</v>
      </c>
      <c r="J86" s="72" t="s">
        <v>375</v>
      </c>
      <c r="K86" s="118"/>
      <c r="L86" s="149"/>
    </row>
    <row r="87" customFormat="false" ht="157.5" hidden="false" customHeight="true" outlineLevel="1" collapsed="false">
      <c r="A87" s="65" t="n">
        <f aca="false">ROW()-8</f>
        <v>79</v>
      </c>
      <c r="B87" s="66" t="s">
        <v>380</v>
      </c>
      <c r="C87" s="67" t="s">
        <v>383</v>
      </c>
      <c r="D87" s="86" t="s">
        <v>66</v>
      </c>
      <c r="E87" s="155" t="n">
        <v>64</v>
      </c>
      <c r="F87" s="155"/>
      <c r="G87" s="153"/>
      <c r="H87" s="153" t="n">
        <f aca="false">F87+G87</f>
        <v>0</v>
      </c>
      <c r="I87" s="69" t="n">
        <f aca="false">E87*H87</f>
        <v>0</v>
      </c>
      <c r="J87" s="72" t="s">
        <v>375</v>
      </c>
      <c r="K87" s="118"/>
      <c r="L87" s="149"/>
    </row>
    <row r="88" customFormat="false" ht="157.5" hidden="false" customHeight="true" outlineLevel="1" collapsed="false">
      <c r="A88" s="65" t="n">
        <f aca="false">ROW()-8</f>
        <v>80</v>
      </c>
      <c r="B88" s="66" t="s">
        <v>380</v>
      </c>
      <c r="C88" s="67" t="s">
        <v>384</v>
      </c>
      <c r="D88" s="86" t="s">
        <v>66</v>
      </c>
      <c r="E88" s="155" t="n">
        <v>352</v>
      </c>
      <c r="F88" s="155"/>
      <c r="G88" s="153"/>
      <c r="H88" s="153" t="n">
        <f aca="false">F88+G88</f>
        <v>0</v>
      </c>
      <c r="I88" s="69" t="n">
        <f aca="false">E88*H88</f>
        <v>0</v>
      </c>
      <c r="J88" s="72" t="s">
        <v>375</v>
      </c>
      <c r="K88" s="118"/>
      <c r="L88" s="149"/>
    </row>
    <row r="89" customFormat="false" ht="157.5" hidden="false" customHeight="true" outlineLevel="1" collapsed="false">
      <c r="A89" s="65" t="n">
        <f aca="false">ROW()-8</f>
        <v>81</v>
      </c>
      <c r="B89" s="66" t="s">
        <v>380</v>
      </c>
      <c r="C89" s="67" t="s">
        <v>385</v>
      </c>
      <c r="D89" s="86" t="s">
        <v>66</v>
      </c>
      <c r="E89" s="155" t="n">
        <v>404</v>
      </c>
      <c r="F89" s="155"/>
      <c r="G89" s="153"/>
      <c r="H89" s="153" t="n">
        <f aca="false">F89+G89</f>
        <v>0</v>
      </c>
      <c r="I89" s="69" t="n">
        <f aca="false">E89*H89</f>
        <v>0</v>
      </c>
      <c r="J89" s="72" t="s">
        <v>375</v>
      </c>
      <c r="K89" s="118"/>
      <c r="L89" s="149"/>
    </row>
    <row r="90" customFormat="false" ht="157.5" hidden="false" customHeight="true" outlineLevel="1" collapsed="false">
      <c r="A90" s="65" t="n">
        <f aca="false">ROW()-8</f>
        <v>82</v>
      </c>
      <c r="B90" s="66" t="s">
        <v>380</v>
      </c>
      <c r="C90" s="67" t="s">
        <v>386</v>
      </c>
      <c r="D90" s="86" t="s">
        <v>66</v>
      </c>
      <c r="E90" s="155" t="n">
        <v>76</v>
      </c>
      <c r="F90" s="155"/>
      <c r="G90" s="153"/>
      <c r="H90" s="153" t="n">
        <f aca="false">F90+G90</f>
        <v>0</v>
      </c>
      <c r="I90" s="69" t="n">
        <f aca="false">E90*H90</f>
        <v>0</v>
      </c>
      <c r="J90" s="72" t="s">
        <v>375</v>
      </c>
      <c r="K90" s="118"/>
      <c r="L90" s="149"/>
    </row>
    <row r="91" customFormat="false" ht="157.5" hidden="false" customHeight="true" outlineLevel="1" collapsed="false">
      <c r="A91" s="65" t="n">
        <f aca="false">ROW()-8</f>
        <v>83</v>
      </c>
      <c r="B91" s="66" t="s">
        <v>380</v>
      </c>
      <c r="C91" s="67" t="s">
        <v>387</v>
      </c>
      <c r="D91" s="86" t="s">
        <v>66</v>
      </c>
      <c r="E91" s="155" t="n">
        <v>216</v>
      </c>
      <c r="F91" s="155"/>
      <c r="G91" s="153"/>
      <c r="H91" s="153" t="n">
        <f aca="false">F91+G91</f>
        <v>0</v>
      </c>
      <c r="I91" s="69" t="n">
        <f aca="false">E91*H91</f>
        <v>0</v>
      </c>
      <c r="J91" s="72" t="s">
        <v>375</v>
      </c>
      <c r="K91" s="118"/>
      <c r="L91" s="149"/>
    </row>
    <row r="92" customFormat="false" ht="123" hidden="false" customHeight="true" outlineLevel="1" collapsed="false">
      <c r="A92" s="65" t="n">
        <f aca="false">ROW()-8</f>
        <v>84</v>
      </c>
      <c r="B92" s="66" t="s">
        <v>96</v>
      </c>
      <c r="C92" s="67" t="s">
        <v>97</v>
      </c>
      <c r="D92" s="86" t="s">
        <v>98</v>
      </c>
      <c r="E92" s="87" t="n">
        <v>23582.6</v>
      </c>
      <c r="F92" s="87"/>
      <c r="G92" s="153"/>
      <c r="H92" s="153" t="n">
        <f aca="false">F92+G92</f>
        <v>0</v>
      </c>
      <c r="I92" s="69" t="n">
        <f aca="false">E92*H92</f>
        <v>0</v>
      </c>
      <c r="J92" s="71" t="s">
        <v>99</v>
      </c>
      <c r="K92" s="118"/>
      <c r="L92" s="149"/>
    </row>
    <row r="93" s="39" customFormat="true" ht="111" hidden="false" customHeight="true" outlineLevel="1" collapsed="false">
      <c r="A93" s="65" t="n">
        <f aca="false">ROW()-8</f>
        <v>85</v>
      </c>
      <c r="B93" s="66" t="s">
        <v>388</v>
      </c>
      <c r="C93" s="67" t="s">
        <v>389</v>
      </c>
      <c r="D93" s="66" t="s">
        <v>102</v>
      </c>
      <c r="E93" s="68" t="n">
        <v>24</v>
      </c>
      <c r="F93" s="68"/>
      <c r="G93" s="153"/>
      <c r="H93" s="153" t="n">
        <f aca="false">F93+G93</f>
        <v>0</v>
      </c>
      <c r="I93" s="69" t="n">
        <f aca="false">E93*H93</f>
        <v>0</v>
      </c>
      <c r="J93" s="71" t="s">
        <v>103</v>
      </c>
      <c r="K93" s="118"/>
      <c r="L93" s="149"/>
    </row>
    <row r="94" s="39" customFormat="true" ht="111" hidden="false" customHeight="true" outlineLevel="1" collapsed="false">
      <c r="A94" s="65" t="n">
        <f aca="false">ROW()-8</f>
        <v>86</v>
      </c>
      <c r="B94" s="66" t="s">
        <v>388</v>
      </c>
      <c r="C94" s="67" t="s">
        <v>390</v>
      </c>
      <c r="D94" s="66" t="s">
        <v>102</v>
      </c>
      <c r="E94" s="68" t="n">
        <v>68</v>
      </c>
      <c r="F94" s="68"/>
      <c r="G94" s="153"/>
      <c r="H94" s="153" t="n">
        <f aca="false">F94+G94</f>
        <v>0</v>
      </c>
      <c r="I94" s="69" t="n">
        <f aca="false">E94*H94</f>
        <v>0</v>
      </c>
      <c r="J94" s="71" t="s">
        <v>103</v>
      </c>
      <c r="K94" s="118"/>
      <c r="L94" s="149"/>
    </row>
    <row r="95" s="39" customFormat="true" ht="111" hidden="false" customHeight="true" outlineLevel="1" collapsed="false">
      <c r="A95" s="65" t="n">
        <f aca="false">ROW()-8</f>
        <v>87</v>
      </c>
      <c r="B95" s="66" t="s">
        <v>388</v>
      </c>
      <c r="C95" s="67" t="s">
        <v>391</v>
      </c>
      <c r="D95" s="66" t="s">
        <v>102</v>
      </c>
      <c r="E95" s="68" t="n">
        <v>4</v>
      </c>
      <c r="F95" s="68"/>
      <c r="G95" s="153"/>
      <c r="H95" s="153" t="n">
        <f aca="false">F95+G95</f>
        <v>0</v>
      </c>
      <c r="I95" s="69" t="n">
        <f aca="false">E95*H95</f>
        <v>0</v>
      </c>
      <c r="J95" s="71" t="s">
        <v>103</v>
      </c>
      <c r="K95" s="118"/>
      <c r="L95" s="149"/>
    </row>
    <row r="96" s="39" customFormat="true" ht="111" hidden="false" customHeight="true" outlineLevel="1" collapsed="false">
      <c r="A96" s="65" t="n">
        <f aca="false">ROW()-8</f>
        <v>88</v>
      </c>
      <c r="B96" s="66" t="s">
        <v>106</v>
      </c>
      <c r="C96" s="67" t="s">
        <v>107</v>
      </c>
      <c r="D96" s="66" t="s">
        <v>102</v>
      </c>
      <c r="E96" s="68" t="n">
        <v>58</v>
      </c>
      <c r="F96" s="68"/>
      <c r="G96" s="153"/>
      <c r="H96" s="153" t="n">
        <f aca="false">F96+G96</f>
        <v>0</v>
      </c>
      <c r="I96" s="69" t="n">
        <f aca="false">E96*H96</f>
        <v>0</v>
      </c>
      <c r="J96" s="71" t="s">
        <v>103</v>
      </c>
      <c r="K96" s="118"/>
      <c r="L96" s="149"/>
    </row>
    <row r="97" s="39" customFormat="true" ht="111" hidden="false" customHeight="true" outlineLevel="1" collapsed="false">
      <c r="A97" s="65" t="n">
        <f aca="false">ROW()-8</f>
        <v>89</v>
      </c>
      <c r="B97" s="66" t="s">
        <v>117</v>
      </c>
      <c r="C97" s="67" t="s">
        <v>122</v>
      </c>
      <c r="D97" s="66" t="s">
        <v>102</v>
      </c>
      <c r="E97" s="68" t="n">
        <v>16</v>
      </c>
      <c r="F97" s="68"/>
      <c r="G97" s="153"/>
      <c r="H97" s="153" t="n">
        <f aca="false">F97+G97</f>
        <v>0</v>
      </c>
      <c r="I97" s="69" t="n">
        <f aca="false">E97*H97</f>
        <v>0</v>
      </c>
      <c r="J97" s="71" t="s">
        <v>113</v>
      </c>
      <c r="K97" s="118"/>
      <c r="L97" s="149"/>
    </row>
    <row r="98" s="39" customFormat="true" ht="111" hidden="false" customHeight="true" outlineLevel="1" collapsed="false">
      <c r="A98" s="65" t="n">
        <f aca="false">ROW()-8</f>
        <v>90</v>
      </c>
      <c r="B98" s="66" t="s">
        <v>117</v>
      </c>
      <c r="C98" s="67" t="s">
        <v>126</v>
      </c>
      <c r="D98" s="66" t="s">
        <v>102</v>
      </c>
      <c r="E98" s="68" t="n">
        <v>4</v>
      </c>
      <c r="F98" s="68"/>
      <c r="G98" s="153"/>
      <c r="H98" s="153" t="n">
        <f aca="false">F98+G98</f>
        <v>0</v>
      </c>
      <c r="I98" s="69" t="n">
        <f aca="false">E98*H98</f>
        <v>0</v>
      </c>
      <c r="J98" s="71" t="s">
        <v>113</v>
      </c>
      <c r="K98" s="118"/>
      <c r="L98" s="149"/>
    </row>
    <row r="99" s="39" customFormat="true" ht="111" hidden="false" customHeight="true" outlineLevel="1" collapsed="false">
      <c r="A99" s="65" t="n">
        <f aca="false">ROW()-8</f>
        <v>91</v>
      </c>
      <c r="B99" s="66" t="s">
        <v>117</v>
      </c>
      <c r="C99" s="67" t="s">
        <v>392</v>
      </c>
      <c r="D99" s="66" t="s">
        <v>102</v>
      </c>
      <c r="E99" s="68" t="n">
        <v>136</v>
      </c>
      <c r="F99" s="68"/>
      <c r="G99" s="153"/>
      <c r="H99" s="153" t="n">
        <f aca="false">F99+G99</f>
        <v>0</v>
      </c>
      <c r="I99" s="69" t="n">
        <f aca="false">E99*H99</f>
        <v>0</v>
      </c>
      <c r="J99" s="71" t="s">
        <v>113</v>
      </c>
      <c r="K99" s="118"/>
      <c r="L99" s="149"/>
    </row>
    <row r="100" s="39" customFormat="true" ht="111" hidden="false" customHeight="true" outlineLevel="1" collapsed="false">
      <c r="A100" s="65" t="n">
        <f aca="false">ROW()-8</f>
        <v>92</v>
      </c>
      <c r="B100" s="66" t="s">
        <v>127</v>
      </c>
      <c r="C100" s="67" t="s">
        <v>128</v>
      </c>
      <c r="D100" s="66" t="s">
        <v>102</v>
      </c>
      <c r="E100" s="68" t="n">
        <v>8</v>
      </c>
      <c r="F100" s="68"/>
      <c r="G100" s="153"/>
      <c r="H100" s="153" t="n">
        <f aca="false">F100+G100</f>
        <v>0</v>
      </c>
      <c r="I100" s="69" t="n">
        <f aca="false">E100*H100</f>
        <v>0</v>
      </c>
      <c r="J100" s="71" t="s">
        <v>129</v>
      </c>
      <c r="K100" s="118"/>
      <c r="L100" s="149"/>
    </row>
    <row r="101" customFormat="false" ht="111" hidden="false" customHeight="true" outlineLevel="1" collapsed="false">
      <c r="A101" s="65" t="n">
        <f aca="false">ROW()-8</f>
        <v>93</v>
      </c>
      <c r="B101" s="66" t="s">
        <v>127</v>
      </c>
      <c r="C101" s="67" t="s">
        <v>130</v>
      </c>
      <c r="D101" s="66" t="s">
        <v>102</v>
      </c>
      <c r="E101" s="68" t="n">
        <v>2</v>
      </c>
      <c r="F101" s="68"/>
      <c r="G101" s="153"/>
      <c r="H101" s="153" t="n">
        <f aca="false">F101+G101</f>
        <v>0</v>
      </c>
      <c r="I101" s="69" t="n">
        <f aca="false">E101*H101</f>
        <v>0</v>
      </c>
      <c r="J101" s="71" t="s">
        <v>129</v>
      </c>
      <c r="K101" s="118"/>
      <c r="L101" s="149"/>
    </row>
    <row r="102" customFormat="false" ht="111" hidden="false" customHeight="true" outlineLevel="1" collapsed="false">
      <c r="A102" s="65" t="n">
        <f aca="false">ROW()-8</f>
        <v>94</v>
      </c>
      <c r="B102" s="66" t="s">
        <v>127</v>
      </c>
      <c r="C102" s="67" t="s">
        <v>133</v>
      </c>
      <c r="D102" s="66" t="s">
        <v>102</v>
      </c>
      <c r="E102" s="68" t="n">
        <v>116</v>
      </c>
      <c r="F102" s="68"/>
      <c r="G102" s="153"/>
      <c r="H102" s="153" t="n">
        <f aca="false">F102+G102</f>
        <v>0</v>
      </c>
      <c r="I102" s="69" t="n">
        <f aca="false">E102*H102</f>
        <v>0</v>
      </c>
      <c r="J102" s="71" t="s">
        <v>129</v>
      </c>
      <c r="K102" s="118"/>
      <c r="L102" s="149"/>
    </row>
    <row r="103" s="39" customFormat="true" ht="111" hidden="false" customHeight="true" outlineLevel="1" collapsed="false">
      <c r="A103" s="65" t="n">
        <f aca="false">ROW()-8</f>
        <v>95</v>
      </c>
      <c r="B103" s="88" t="s">
        <v>393</v>
      </c>
      <c r="C103" s="67" t="s">
        <v>394</v>
      </c>
      <c r="D103" s="66" t="s">
        <v>102</v>
      </c>
      <c r="E103" s="68" t="n">
        <v>24</v>
      </c>
      <c r="F103" s="68"/>
      <c r="G103" s="153"/>
      <c r="H103" s="153" t="n">
        <f aca="false">F103+G103</f>
        <v>0</v>
      </c>
      <c r="I103" s="69" t="n">
        <f aca="false">E103*H103</f>
        <v>0</v>
      </c>
      <c r="J103" s="71" t="s">
        <v>113</v>
      </c>
      <c r="K103" s="118"/>
      <c r="L103" s="149"/>
    </row>
    <row r="104" s="39" customFormat="true" ht="111" hidden="false" customHeight="true" outlineLevel="1" collapsed="false">
      <c r="A104" s="65" t="n">
        <f aca="false">ROW()-8</f>
        <v>96</v>
      </c>
      <c r="B104" s="88" t="s">
        <v>393</v>
      </c>
      <c r="C104" s="67" t="s">
        <v>395</v>
      </c>
      <c r="D104" s="66" t="s">
        <v>102</v>
      </c>
      <c r="E104" s="68" t="n">
        <v>68</v>
      </c>
      <c r="F104" s="68"/>
      <c r="G104" s="153"/>
      <c r="H104" s="153" t="n">
        <f aca="false">F104+G104</f>
        <v>0</v>
      </c>
      <c r="I104" s="69" t="n">
        <f aca="false">E104*H104</f>
        <v>0</v>
      </c>
      <c r="J104" s="71" t="s">
        <v>113</v>
      </c>
      <c r="K104" s="118"/>
      <c r="L104" s="149"/>
    </row>
    <row r="105" s="39" customFormat="true" ht="111" hidden="false" customHeight="true" outlineLevel="1" collapsed="false">
      <c r="A105" s="65" t="n">
        <f aca="false">ROW()-8</f>
        <v>97</v>
      </c>
      <c r="B105" s="88" t="s">
        <v>393</v>
      </c>
      <c r="C105" s="67" t="s">
        <v>396</v>
      </c>
      <c r="D105" s="66" t="s">
        <v>102</v>
      </c>
      <c r="E105" s="68" t="n">
        <v>4</v>
      </c>
      <c r="F105" s="68"/>
      <c r="G105" s="153"/>
      <c r="H105" s="153" t="n">
        <f aca="false">F105+G105</f>
        <v>0</v>
      </c>
      <c r="I105" s="69" t="n">
        <f aca="false">E105*H105</f>
        <v>0</v>
      </c>
      <c r="J105" s="71" t="s">
        <v>113</v>
      </c>
      <c r="K105" s="118"/>
      <c r="L105" s="149"/>
    </row>
    <row r="106" s="39" customFormat="true" ht="111" hidden="false" customHeight="true" outlineLevel="1" collapsed="false">
      <c r="A106" s="65" t="n">
        <f aca="false">ROW()-8</f>
        <v>98</v>
      </c>
      <c r="B106" s="88" t="s">
        <v>393</v>
      </c>
      <c r="C106" s="67" t="s">
        <v>397</v>
      </c>
      <c r="D106" s="66" t="s">
        <v>102</v>
      </c>
      <c r="E106" s="68" t="n">
        <v>58</v>
      </c>
      <c r="F106" s="68"/>
      <c r="G106" s="153"/>
      <c r="H106" s="153" t="n">
        <f aca="false">F106+G106</f>
        <v>0</v>
      </c>
      <c r="I106" s="69" t="n">
        <f aca="false">E106*H106</f>
        <v>0</v>
      </c>
      <c r="J106" s="71" t="s">
        <v>113</v>
      </c>
      <c r="K106" s="118"/>
      <c r="L106" s="149"/>
    </row>
    <row r="107" s="39" customFormat="true" ht="111" hidden="false" customHeight="true" outlineLevel="1" collapsed="false">
      <c r="A107" s="65" t="n">
        <f aca="false">ROW()-8</f>
        <v>99</v>
      </c>
      <c r="B107" s="66" t="s">
        <v>143</v>
      </c>
      <c r="C107" s="67" t="s">
        <v>398</v>
      </c>
      <c r="D107" s="66" t="s">
        <v>102</v>
      </c>
      <c r="E107" s="68" t="n">
        <v>232</v>
      </c>
      <c r="F107" s="68"/>
      <c r="G107" s="153"/>
      <c r="H107" s="153" t="n">
        <f aca="false">F107+G107</f>
        <v>0</v>
      </c>
      <c r="I107" s="69" t="n">
        <f aca="false">E107*H107</f>
        <v>0</v>
      </c>
      <c r="J107" s="71" t="s">
        <v>113</v>
      </c>
      <c r="K107" s="118"/>
      <c r="L107" s="149"/>
    </row>
    <row r="108" s="39" customFormat="true" ht="111" hidden="false" customHeight="true" outlineLevel="1" collapsed="false">
      <c r="A108" s="65" t="n">
        <f aca="false">ROW()-8</f>
        <v>100</v>
      </c>
      <c r="B108" s="66" t="s">
        <v>399</v>
      </c>
      <c r="C108" s="67" t="s">
        <v>400</v>
      </c>
      <c r="D108" s="66" t="s">
        <v>102</v>
      </c>
      <c r="E108" s="68" t="n">
        <v>8</v>
      </c>
      <c r="F108" s="68"/>
      <c r="G108" s="153"/>
      <c r="H108" s="153" t="n">
        <f aca="false">F108+G108</f>
        <v>0</v>
      </c>
      <c r="I108" s="69" t="n">
        <f aca="false">E108*H108</f>
        <v>0</v>
      </c>
      <c r="J108" s="71" t="s">
        <v>113</v>
      </c>
      <c r="K108" s="118"/>
      <c r="L108" s="149"/>
    </row>
    <row r="109" customFormat="false" ht="111" hidden="false" customHeight="true" outlineLevel="1" collapsed="false">
      <c r="A109" s="65" t="n">
        <f aca="false">ROW()-8</f>
        <v>101</v>
      </c>
      <c r="B109" s="66" t="s">
        <v>399</v>
      </c>
      <c r="C109" s="67" t="s">
        <v>401</v>
      </c>
      <c r="D109" s="66" t="s">
        <v>102</v>
      </c>
      <c r="E109" s="68" t="n">
        <v>116</v>
      </c>
      <c r="F109" s="68"/>
      <c r="G109" s="153"/>
      <c r="H109" s="153" t="n">
        <f aca="false">F109+G109</f>
        <v>0</v>
      </c>
      <c r="I109" s="69" t="n">
        <f aca="false">E109*H109</f>
        <v>0</v>
      </c>
      <c r="J109" s="71" t="s">
        <v>113</v>
      </c>
      <c r="K109" s="118"/>
      <c r="L109" s="149"/>
    </row>
    <row r="110" s="39" customFormat="true" ht="87.75" hidden="false" customHeight="true" outlineLevel="1" collapsed="false">
      <c r="A110" s="65" t="n">
        <f aca="false">ROW()-8</f>
        <v>102</v>
      </c>
      <c r="B110" s="66" t="s">
        <v>153</v>
      </c>
      <c r="C110" s="67" t="s">
        <v>154</v>
      </c>
      <c r="D110" s="66" t="s">
        <v>155</v>
      </c>
      <c r="E110" s="68" t="n">
        <v>192</v>
      </c>
      <c r="F110" s="68"/>
      <c r="G110" s="153"/>
      <c r="H110" s="153" t="n">
        <f aca="false">F110+G110</f>
        <v>0</v>
      </c>
      <c r="I110" s="69" t="n">
        <f aca="false">E110*H110</f>
        <v>0</v>
      </c>
      <c r="J110" s="71" t="s">
        <v>402</v>
      </c>
      <c r="K110" s="118"/>
      <c r="L110" s="149"/>
    </row>
    <row r="111" s="39" customFormat="true" ht="99" hidden="false" customHeight="true" outlineLevel="1" collapsed="false">
      <c r="A111" s="65" t="n">
        <f aca="false">ROW()-8</f>
        <v>103</v>
      </c>
      <c r="B111" s="66" t="s">
        <v>157</v>
      </c>
      <c r="C111" s="67" t="s">
        <v>160</v>
      </c>
      <c r="D111" s="66" t="s">
        <v>159</v>
      </c>
      <c r="E111" s="68" t="n">
        <v>192</v>
      </c>
      <c r="F111" s="68"/>
      <c r="G111" s="153"/>
      <c r="H111" s="153" t="n">
        <f aca="false">F111+G111</f>
        <v>0</v>
      </c>
      <c r="I111" s="69" t="n">
        <f aca="false">E111*H111</f>
        <v>0</v>
      </c>
      <c r="J111" s="71" t="s">
        <v>402</v>
      </c>
      <c r="K111" s="118"/>
      <c r="L111" s="149"/>
    </row>
    <row r="112" customFormat="false" ht="111" hidden="false" customHeight="true" outlineLevel="1" collapsed="false">
      <c r="A112" s="65" t="n">
        <f aca="false">ROW()-8</f>
        <v>104</v>
      </c>
      <c r="B112" s="66" t="s">
        <v>403</v>
      </c>
      <c r="C112" s="67" t="s">
        <v>404</v>
      </c>
      <c r="D112" s="66" t="s">
        <v>102</v>
      </c>
      <c r="E112" s="68" t="n">
        <v>192</v>
      </c>
      <c r="F112" s="68"/>
      <c r="G112" s="153"/>
      <c r="H112" s="153" t="n">
        <f aca="false">F112+G112</f>
        <v>0</v>
      </c>
      <c r="I112" s="69" t="n">
        <f aca="false">E112*H112</f>
        <v>0</v>
      </c>
      <c r="J112" s="71" t="s">
        <v>129</v>
      </c>
      <c r="K112" s="118"/>
      <c r="L112" s="149"/>
    </row>
    <row r="113" customFormat="false" ht="111" hidden="false" customHeight="true" outlineLevel="1" collapsed="false">
      <c r="A113" s="65" t="n">
        <f aca="false">ROW()-8</f>
        <v>105</v>
      </c>
      <c r="B113" s="66" t="s">
        <v>405</v>
      </c>
      <c r="C113" s="67" t="s">
        <v>406</v>
      </c>
      <c r="D113" s="66" t="s">
        <v>102</v>
      </c>
      <c r="E113" s="68" t="n">
        <v>20</v>
      </c>
      <c r="F113" s="68"/>
      <c r="G113" s="153"/>
      <c r="H113" s="153" t="n">
        <f aca="false">F113+G113</f>
        <v>0</v>
      </c>
      <c r="I113" s="69" t="n">
        <f aca="false">E113*H113</f>
        <v>0</v>
      </c>
      <c r="J113" s="71" t="s">
        <v>129</v>
      </c>
      <c r="K113" s="118"/>
      <c r="L113" s="149"/>
    </row>
    <row r="114" customFormat="false" ht="87.75" hidden="false" customHeight="true" outlineLevel="1" collapsed="false">
      <c r="A114" s="65" t="n">
        <f aca="false">ROW()-8</f>
        <v>106</v>
      </c>
      <c r="B114" s="66" t="s">
        <v>407</v>
      </c>
      <c r="C114" s="67" t="s">
        <v>408</v>
      </c>
      <c r="D114" s="66" t="s">
        <v>163</v>
      </c>
      <c r="E114" s="68" t="n">
        <v>1</v>
      </c>
      <c r="F114" s="68"/>
      <c r="G114" s="153"/>
      <c r="H114" s="153" t="n">
        <f aca="false">F114+G114</f>
        <v>0</v>
      </c>
      <c r="I114" s="69" t="n">
        <f aca="false">E114*H114</f>
        <v>0</v>
      </c>
      <c r="J114" s="83"/>
      <c r="K114" s="118"/>
      <c r="L114" s="149"/>
    </row>
    <row r="115" customFormat="false" ht="40.5" hidden="false" customHeight="true" outlineLevel="1" collapsed="false">
      <c r="A115" s="65" t="n">
        <f aca="false">ROW()-8</f>
        <v>107</v>
      </c>
      <c r="B115" s="66" t="s">
        <v>409</v>
      </c>
      <c r="C115" s="102" t="s">
        <v>410</v>
      </c>
      <c r="D115" s="66" t="s">
        <v>170</v>
      </c>
      <c r="E115" s="68" t="n">
        <v>1</v>
      </c>
      <c r="F115" s="68"/>
      <c r="G115" s="153"/>
      <c r="H115" s="153" t="n">
        <f aca="false">F115+G115</f>
        <v>0</v>
      </c>
      <c r="I115" s="69" t="n">
        <f aca="false">E115*H115</f>
        <v>0</v>
      </c>
      <c r="J115" s="83"/>
      <c r="K115" s="118"/>
      <c r="L115" s="149"/>
    </row>
    <row r="116" s="39" customFormat="true" ht="29.25" hidden="false" customHeight="true" outlineLevel="0" collapsed="false">
      <c r="A116" s="65"/>
      <c r="B116" s="79" t="s">
        <v>57</v>
      </c>
      <c r="C116" s="102"/>
      <c r="D116" s="86"/>
      <c r="E116" s="80"/>
      <c r="F116" s="80"/>
      <c r="G116" s="81"/>
      <c r="H116" s="81"/>
      <c r="I116" s="82" t="n">
        <f aca="false">SUM(I66:I115)</f>
        <v>0</v>
      </c>
      <c r="K116" s="118"/>
      <c r="L116" s="149"/>
    </row>
    <row r="117" customFormat="false" ht="29.25" hidden="false" customHeight="true" outlineLevel="0" collapsed="false">
      <c r="A117" s="84" t="s">
        <v>216</v>
      </c>
      <c r="B117" s="79" t="s">
        <v>172</v>
      </c>
      <c r="C117" s="102"/>
      <c r="D117" s="86"/>
      <c r="E117" s="80"/>
      <c r="F117" s="80"/>
      <c r="G117" s="81"/>
      <c r="H117" s="81"/>
      <c r="I117" s="82"/>
      <c r="K117" s="118"/>
      <c r="L117" s="149"/>
    </row>
    <row r="118" customFormat="false" ht="157.5" hidden="false" customHeight="true" outlineLevel="1" collapsed="false">
      <c r="A118" s="65" t="n">
        <f aca="false">ROW()-10</f>
        <v>108</v>
      </c>
      <c r="B118" s="88" t="s">
        <v>411</v>
      </c>
      <c r="C118" s="159" t="s">
        <v>412</v>
      </c>
      <c r="D118" s="66" t="s">
        <v>32</v>
      </c>
      <c r="E118" s="68" t="n">
        <v>4</v>
      </c>
      <c r="F118" s="68"/>
      <c r="G118" s="153"/>
      <c r="H118" s="153" t="n">
        <f aca="false">F118+G118</f>
        <v>0</v>
      </c>
      <c r="I118" s="69" t="n">
        <f aca="false">E118*H118</f>
        <v>0</v>
      </c>
      <c r="J118" s="71" t="s">
        <v>178</v>
      </c>
      <c r="K118" s="118"/>
      <c r="L118" s="149"/>
    </row>
    <row r="119" customFormat="false" ht="157.5" hidden="false" customHeight="true" outlineLevel="1" collapsed="false">
      <c r="A119" s="65" t="n">
        <f aca="false">ROW()-10</f>
        <v>109</v>
      </c>
      <c r="B119" s="88" t="s">
        <v>413</v>
      </c>
      <c r="C119" s="159" t="s">
        <v>414</v>
      </c>
      <c r="D119" s="66" t="s">
        <v>32</v>
      </c>
      <c r="E119" s="68" t="n">
        <v>1</v>
      </c>
      <c r="F119" s="68"/>
      <c r="G119" s="153"/>
      <c r="H119" s="153" t="n">
        <f aca="false">F119+G119</f>
        <v>0</v>
      </c>
      <c r="I119" s="69" t="n">
        <f aca="false">E119*H119</f>
        <v>0</v>
      </c>
      <c r="J119" s="71" t="s">
        <v>191</v>
      </c>
      <c r="K119" s="118"/>
      <c r="L119" s="149"/>
    </row>
    <row r="120" customFormat="false" ht="157.5" hidden="false" customHeight="true" outlineLevel="1" collapsed="false">
      <c r="A120" s="65" t="n">
        <f aca="false">ROW()-10</f>
        <v>110</v>
      </c>
      <c r="B120" s="88" t="s">
        <v>415</v>
      </c>
      <c r="C120" s="159" t="s">
        <v>416</v>
      </c>
      <c r="D120" s="66" t="s">
        <v>32</v>
      </c>
      <c r="E120" s="68" t="n">
        <v>1</v>
      </c>
      <c r="F120" s="68"/>
      <c r="G120" s="153"/>
      <c r="H120" s="153" t="n">
        <f aca="false">F120+G120</f>
        <v>0</v>
      </c>
      <c r="I120" s="69" t="n">
        <f aca="false">E120*H120</f>
        <v>0</v>
      </c>
      <c r="J120" s="71" t="s">
        <v>191</v>
      </c>
      <c r="K120" s="118"/>
      <c r="L120" s="149"/>
    </row>
    <row r="121" customFormat="false" ht="157.5" hidden="false" customHeight="true" outlineLevel="1" collapsed="false">
      <c r="A121" s="65" t="n">
        <f aca="false">ROW()-10</f>
        <v>111</v>
      </c>
      <c r="B121" s="88" t="s">
        <v>417</v>
      </c>
      <c r="C121" s="159" t="s">
        <v>418</v>
      </c>
      <c r="D121" s="66" t="s">
        <v>32</v>
      </c>
      <c r="E121" s="68" t="n">
        <v>1</v>
      </c>
      <c r="F121" s="68"/>
      <c r="G121" s="153"/>
      <c r="H121" s="153" t="n">
        <f aca="false">F121+G121</f>
        <v>0</v>
      </c>
      <c r="I121" s="69" t="n">
        <f aca="false">E121*H121</f>
        <v>0</v>
      </c>
      <c r="J121" s="71" t="s">
        <v>191</v>
      </c>
      <c r="K121" s="118"/>
      <c r="L121" s="149"/>
    </row>
    <row r="122" customFormat="false" ht="157.5" hidden="false" customHeight="true" outlineLevel="1" collapsed="false">
      <c r="A122" s="65" t="n">
        <f aca="false">ROW()-10</f>
        <v>112</v>
      </c>
      <c r="B122" s="88" t="s">
        <v>419</v>
      </c>
      <c r="C122" s="159" t="s">
        <v>420</v>
      </c>
      <c r="D122" s="66" t="s">
        <v>32</v>
      </c>
      <c r="E122" s="68" t="n">
        <v>1</v>
      </c>
      <c r="F122" s="68"/>
      <c r="G122" s="153"/>
      <c r="H122" s="153" t="n">
        <f aca="false">F122+G122</f>
        <v>0</v>
      </c>
      <c r="I122" s="69" t="n">
        <f aca="false">E122*H122</f>
        <v>0</v>
      </c>
      <c r="J122" s="71" t="s">
        <v>191</v>
      </c>
      <c r="K122" s="118"/>
      <c r="L122" s="149"/>
    </row>
    <row r="123" customFormat="false" ht="157.5" hidden="false" customHeight="true" outlineLevel="1" collapsed="false">
      <c r="A123" s="65" t="n">
        <f aca="false">ROW()-10</f>
        <v>113</v>
      </c>
      <c r="B123" s="88" t="s">
        <v>421</v>
      </c>
      <c r="C123" s="159" t="s">
        <v>422</v>
      </c>
      <c r="D123" s="66" t="s">
        <v>32</v>
      </c>
      <c r="E123" s="68" t="n">
        <v>2</v>
      </c>
      <c r="F123" s="68"/>
      <c r="G123" s="153"/>
      <c r="H123" s="153" t="n">
        <f aca="false">F123+G123</f>
        <v>0</v>
      </c>
      <c r="I123" s="69" t="n">
        <f aca="false">E123*H123</f>
        <v>0</v>
      </c>
      <c r="J123" s="71" t="s">
        <v>423</v>
      </c>
      <c r="K123" s="118"/>
      <c r="L123" s="149"/>
    </row>
    <row r="124" customFormat="false" ht="157.5" hidden="false" customHeight="true" outlineLevel="1" collapsed="false">
      <c r="A124" s="65" t="n">
        <f aca="false">ROW()-10</f>
        <v>114</v>
      </c>
      <c r="B124" s="88" t="s">
        <v>424</v>
      </c>
      <c r="C124" s="159" t="s">
        <v>425</v>
      </c>
      <c r="D124" s="66" t="s">
        <v>32</v>
      </c>
      <c r="E124" s="68" t="n">
        <v>2</v>
      </c>
      <c r="F124" s="68"/>
      <c r="G124" s="153"/>
      <c r="H124" s="153" t="n">
        <f aca="false">F124+G124</f>
        <v>0</v>
      </c>
      <c r="I124" s="69" t="n">
        <f aca="false">E124*H124</f>
        <v>0</v>
      </c>
      <c r="J124" s="71" t="s">
        <v>191</v>
      </c>
      <c r="K124" s="118"/>
      <c r="L124" s="149"/>
    </row>
    <row r="125" customFormat="false" ht="157.5" hidden="false" customHeight="true" outlineLevel="1" collapsed="false">
      <c r="A125" s="65" t="n">
        <f aca="false">ROW()-10</f>
        <v>115</v>
      </c>
      <c r="B125" s="88" t="s">
        <v>426</v>
      </c>
      <c r="C125" s="67" t="s">
        <v>427</v>
      </c>
      <c r="D125" s="66" t="s">
        <v>32</v>
      </c>
      <c r="E125" s="68" t="n">
        <v>2</v>
      </c>
      <c r="F125" s="68"/>
      <c r="G125" s="153"/>
      <c r="H125" s="153" t="n">
        <f aca="false">F125+G125</f>
        <v>0</v>
      </c>
      <c r="I125" s="69" t="n">
        <f aca="false">E125*H125</f>
        <v>0</v>
      </c>
      <c r="J125" s="71" t="s">
        <v>191</v>
      </c>
      <c r="K125" s="118"/>
      <c r="L125" s="149"/>
    </row>
    <row r="126" customFormat="false" ht="157.5" hidden="false" customHeight="true" outlineLevel="1" collapsed="false">
      <c r="A126" s="65" t="n">
        <f aca="false">ROW()-10</f>
        <v>116</v>
      </c>
      <c r="B126" s="88" t="s">
        <v>428</v>
      </c>
      <c r="C126" s="159" t="s">
        <v>429</v>
      </c>
      <c r="D126" s="66" t="s">
        <v>32</v>
      </c>
      <c r="E126" s="68" t="n">
        <v>2</v>
      </c>
      <c r="F126" s="68"/>
      <c r="G126" s="153"/>
      <c r="H126" s="153" t="n">
        <f aca="false">F126+G126</f>
        <v>0</v>
      </c>
      <c r="I126" s="69" t="n">
        <f aca="false">E126*H126</f>
        <v>0</v>
      </c>
      <c r="J126" s="71" t="s">
        <v>191</v>
      </c>
      <c r="K126" s="118"/>
      <c r="L126" s="149"/>
    </row>
    <row r="127" customFormat="false" ht="157.5" hidden="false" customHeight="true" outlineLevel="1" collapsed="false">
      <c r="A127" s="65" t="n">
        <f aca="false">ROW()-10</f>
        <v>117</v>
      </c>
      <c r="B127" s="88" t="s">
        <v>430</v>
      </c>
      <c r="C127" s="159" t="s">
        <v>431</v>
      </c>
      <c r="D127" s="66" t="s">
        <v>32</v>
      </c>
      <c r="E127" s="68" t="n">
        <v>2</v>
      </c>
      <c r="F127" s="68"/>
      <c r="G127" s="153"/>
      <c r="H127" s="153" t="n">
        <f aca="false">F127+G127</f>
        <v>0</v>
      </c>
      <c r="I127" s="69" t="n">
        <f aca="false">E127*H127</f>
        <v>0</v>
      </c>
      <c r="J127" s="71" t="s">
        <v>191</v>
      </c>
      <c r="K127" s="118"/>
      <c r="L127" s="149"/>
    </row>
    <row r="128" customFormat="false" ht="75.75" hidden="false" customHeight="true" outlineLevel="1" collapsed="false">
      <c r="A128" s="65" t="n">
        <f aca="false">ROW()-10</f>
        <v>118</v>
      </c>
      <c r="B128" s="66" t="s">
        <v>192</v>
      </c>
      <c r="C128" s="159" t="s">
        <v>196</v>
      </c>
      <c r="D128" s="86" t="s">
        <v>66</v>
      </c>
      <c r="E128" s="87" t="n">
        <v>1129</v>
      </c>
      <c r="F128" s="87"/>
      <c r="G128" s="153"/>
      <c r="H128" s="153" t="n">
        <f aca="false">F128+G128</f>
        <v>0</v>
      </c>
      <c r="I128" s="69" t="n">
        <f aca="false">E128*H128</f>
        <v>0</v>
      </c>
      <c r="J128" s="71" t="s">
        <v>194</v>
      </c>
      <c r="K128" s="118"/>
      <c r="L128" s="149"/>
    </row>
    <row r="129" customFormat="false" ht="75.75" hidden="false" customHeight="true" outlineLevel="1" collapsed="false">
      <c r="A129" s="65" t="n">
        <f aca="false">ROW()-10</f>
        <v>119</v>
      </c>
      <c r="B129" s="66" t="s">
        <v>192</v>
      </c>
      <c r="C129" s="159" t="s">
        <v>198</v>
      </c>
      <c r="D129" s="86" t="s">
        <v>66</v>
      </c>
      <c r="E129" s="87" t="n">
        <v>3557</v>
      </c>
      <c r="F129" s="87"/>
      <c r="G129" s="153"/>
      <c r="H129" s="153" t="n">
        <f aca="false">F129+G129</f>
        <v>0</v>
      </c>
      <c r="I129" s="69" t="n">
        <f aca="false">E129*H129</f>
        <v>0</v>
      </c>
      <c r="J129" s="71" t="s">
        <v>194</v>
      </c>
      <c r="K129" s="118"/>
      <c r="L129" s="149"/>
    </row>
    <row r="130" customFormat="false" ht="99" hidden="false" customHeight="true" outlineLevel="1" collapsed="false">
      <c r="A130" s="65" t="n">
        <f aca="false">ROW()-10</f>
        <v>120</v>
      </c>
      <c r="B130" s="66" t="s">
        <v>202</v>
      </c>
      <c r="C130" s="159" t="s">
        <v>206</v>
      </c>
      <c r="D130" s="86" t="s">
        <v>66</v>
      </c>
      <c r="E130" s="87" t="n">
        <v>890</v>
      </c>
      <c r="F130" s="87"/>
      <c r="G130" s="153"/>
      <c r="H130" s="153" t="n">
        <f aca="false">F130+G130</f>
        <v>0</v>
      </c>
      <c r="I130" s="69" t="n">
        <f aca="false">E130*H130</f>
        <v>0</v>
      </c>
      <c r="J130" s="71" t="s">
        <v>53</v>
      </c>
      <c r="K130" s="118"/>
      <c r="L130" s="149"/>
    </row>
    <row r="131" customFormat="false" ht="99" hidden="false" customHeight="true" outlineLevel="1" collapsed="false">
      <c r="A131" s="65" t="n">
        <f aca="false">ROW()-10</f>
        <v>121</v>
      </c>
      <c r="B131" s="88" t="s">
        <v>208</v>
      </c>
      <c r="C131" s="159" t="s">
        <v>209</v>
      </c>
      <c r="D131" s="86" t="s">
        <v>66</v>
      </c>
      <c r="E131" s="87" t="n">
        <v>120</v>
      </c>
      <c r="F131" s="87"/>
      <c r="G131" s="153"/>
      <c r="H131" s="153" t="n">
        <f aca="false">F131+G131</f>
        <v>0</v>
      </c>
      <c r="I131" s="69" t="n">
        <f aca="false">E131*H131</f>
        <v>0</v>
      </c>
      <c r="J131" s="71" t="s">
        <v>86</v>
      </c>
      <c r="K131" s="118"/>
      <c r="L131" s="149"/>
    </row>
    <row r="132" customFormat="false" ht="99" hidden="false" customHeight="true" outlineLevel="1" collapsed="false">
      <c r="A132" s="65" t="n">
        <f aca="false">ROW()-10</f>
        <v>122</v>
      </c>
      <c r="B132" s="88" t="s">
        <v>208</v>
      </c>
      <c r="C132" s="159" t="s">
        <v>210</v>
      </c>
      <c r="D132" s="86" t="s">
        <v>66</v>
      </c>
      <c r="E132" s="87" t="n">
        <v>392</v>
      </c>
      <c r="F132" s="87"/>
      <c r="G132" s="153"/>
      <c r="H132" s="153" t="n">
        <f aca="false">F132+G132</f>
        <v>0</v>
      </c>
      <c r="I132" s="69" t="n">
        <f aca="false">E132*H132</f>
        <v>0</v>
      </c>
      <c r="J132" s="71" t="s">
        <v>86</v>
      </c>
      <c r="K132" s="118"/>
      <c r="L132" s="149"/>
    </row>
    <row r="133" customFormat="false" ht="52.5" hidden="false" customHeight="true" outlineLevel="1" collapsed="false">
      <c r="A133" s="65" t="n">
        <f aca="false">ROW()-10</f>
        <v>123</v>
      </c>
      <c r="B133" s="66" t="s">
        <v>432</v>
      </c>
      <c r="C133" s="159" t="s">
        <v>433</v>
      </c>
      <c r="D133" s="86" t="s">
        <v>98</v>
      </c>
      <c r="E133" s="87" t="n">
        <v>758.6</v>
      </c>
      <c r="F133" s="87"/>
      <c r="G133" s="153"/>
      <c r="H133" s="153" t="n">
        <f aca="false">F133+G133</f>
        <v>0</v>
      </c>
      <c r="I133" s="69" t="n">
        <f aca="false">E133*H133</f>
        <v>0</v>
      </c>
      <c r="J133" s="71" t="s">
        <v>99</v>
      </c>
      <c r="K133" s="118"/>
      <c r="L133" s="149"/>
    </row>
    <row r="134" customFormat="false" ht="52.5" hidden="false" customHeight="true" outlineLevel="1" collapsed="false">
      <c r="A134" s="65" t="n">
        <f aca="false">ROW()-10</f>
        <v>124</v>
      </c>
      <c r="B134" s="66" t="s">
        <v>211</v>
      </c>
      <c r="C134" s="159" t="s">
        <v>212</v>
      </c>
      <c r="D134" s="86" t="s">
        <v>98</v>
      </c>
      <c r="E134" s="87" t="n">
        <v>2744.9</v>
      </c>
      <c r="F134" s="87"/>
      <c r="G134" s="153"/>
      <c r="H134" s="153" t="n">
        <f aca="false">F134+G134</f>
        <v>0</v>
      </c>
      <c r="I134" s="69" t="n">
        <f aca="false">E134*H134</f>
        <v>0</v>
      </c>
      <c r="J134" s="71" t="s">
        <v>99</v>
      </c>
      <c r="K134" s="118"/>
      <c r="L134" s="149"/>
    </row>
    <row r="135" customFormat="false" ht="40.5" hidden="false" customHeight="true" outlineLevel="1" collapsed="false">
      <c r="A135" s="65" t="n">
        <f aca="false">ROW()-10</f>
        <v>125</v>
      </c>
      <c r="B135" s="66" t="s">
        <v>213</v>
      </c>
      <c r="C135" s="160" t="s">
        <v>214</v>
      </c>
      <c r="D135" s="66" t="s">
        <v>163</v>
      </c>
      <c r="E135" s="68" t="n">
        <v>1</v>
      </c>
      <c r="F135" s="68"/>
      <c r="G135" s="153"/>
      <c r="H135" s="153" t="n">
        <f aca="false">F135+G135</f>
        <v>0</v>
      </c>
      <c r="I135" s="69" t="n">
        <f aca="false">E135*H135</f>
        <v>0</v>
      </c>
      <c r="J135" s="71" t="s">
        <v>99</v>
      </c>
      <c r="K135" s="118"/>
      <c r="L135" s="149"/>
    </row>
    <row r="136" s="39" customFormat="true" ht="29.25" hidden="false" customHeight="true" outlineLevel="0" collapsed="false">
      <c r="A136" s="65"/>
      <c r="B136" s="79" t="s">
        <v>57</v>
      </c>
      <c r="C136" s="102"/>
      <c r="D136" s="86"/>
      <c r="E136" s="80"/>
      <c r="F136" s="80"/>
      <c r="G136" s="81"/>
      <c r="H136" s="81"/>
      <c r="I136" s="82" t="n">
        <f aca="false">SUM(I118:I135)</f>
        <v>0</v>
      </c>
      <c r="J136" s="83"/>
      <c r="K136" s="118"/>
      <c r="L136" s="149"/>
    </row>
    <row r="137" s="39" customFormat="true" ht="40.5" hidden="false" customHeight="true" outlineLevel="0" collapsed="false">
      <c r="A137" s="84" t="s">
        <v>434</v>
      </c>
      <c r="B137" s="79" t="s">
        <v>435</v>
      </c>
      <c r="C137" s="102"/>
      <c r="D137" s="86"/>
      <c r="E137" s="80"/>
      <c r="F137" s="80"/>
      <c r="G137" s="81"/>
      <c r="H137" s="81"/>
      <c r="I137" s="82"/>
      <c r="J137" s="83"/>
      <c r="K137" s="118"/>
      <c r="L137" s="149"/>
    </row>
    <row r="138" s="39" customFormat="true" ht="157.5" hidden="false" customHeight="true" outlineLevel="1" collapsed="false">
      <c r="A138" s="65" t="n">
        <f aca="false">ROW()-12</f>
        <v>126</v>
      </c>
      <c r="B138" s="88" t="s">
        <v>436</v>
      </c>
      <c r="C138" s="159" t="s">
        <v>437</v>
      </c>
      <c r="D138" s="66" t="s">
        <v>32</v>
      </c>
      <c r="E138" s="68" t="n">
        <v>2</v>
      </c>
      <c r="F138" s="68"/>
      <c r="G138" s="153"/>
      <c r="H138" s="153" t="n">
        <f aca="false">F138+G138</f>
        <v>0</v>
      </c>
      <c r="I138" s="69" t="n">
        <f aca="false">E138*H138</f>
        <v>0</v>
      </c>
      <c r="J138" s="72" t="s">
        <v>229</v>
      </c>
      <c r="K138" s="118"/>
      <c r="L138" s="149"/>
    </row>
    <row r="139" s="39" customFormat="true" ht="157.5" hidden="false" customHeight="true" outlineLevel="1" collapsed="false">
      <c r="A139" s="65" t="n">
        <f aca="false">ROW()-12</f>
        <v>127</v>
      </c>
      <c r="B139" s="88" t="s">
        <v>438</v>
      </c>
      <c r="C139" s="159" t="s">
        <v>439</v>
      </c>
      <c r="D139" s="66" t="s">
        <v>32</v>
      </c>
      <c r="E139" s="68" t="n">
        <v>2</v>
      </c>
      <c r="F139" s="68"/>
      <c r="G139" s="153"/>
      <c r="H139" s="153" t="n">
        <f aca="false">F139+G139</f>
        <v>0</v>
      </c>
      <c r="I139" s="69" t="n">
        <f aca="false">E139*H139</f>
        <v>0</v>
      </c>
      <c r="J139" s="72" t="s">
        <v>229</v>
      </c>
      <c r="K139" s="118"/>
      <c r="L139" s="149"/>
    </row>
    <row r="140" s="39" customFormat="true" ht="157.5" hidden="false" customHeight="true" outlineLevel="1" collapsed="false">
      <c r="A140" s="65" t="n">
        <f aca="false">ROW()-12</f>
        <v>128</v>
      </c>
      <c r="B140" s="88" t="s">
        <v>440</v>
      </c>
      <c r="C140" s="159" t="s">
        <v>441</v>
      </c>
      <c r="D140" s="66" t="s">
        <v>32</v>
      </c>
      <c r="E140" s="68" t="n">
        <v>1</v>
      </c>
      <c r="F140" s="68"/>
      <c r="G140" s="153"/>
      <c r="H140" s="153" t="n">
        <f aca="false">F140+G140</f>
        <v>0</v>
      </c>
      <c r="I140" s="69" t="n">
        <f aca="false">E140*H140</f>
        <v>0</v>
      </c>
      <c r="J140" s="72" t="s">
        <v>229</v>
      </c>
      <c r="K140" s="118"/>
      <c r="L140" s="149"/>
    </row>
    <row r="141" s="39" customFormat="true" ht="157.5" hidden="false" customHeight="true" outlineLevel="1" collapsed="false">
      <c r="A141" s="65" t="n">
        <f aca="false">ROW()-12</f>
        <v>129</v>
      </c>
      <c r="B141" s="88" t="s">
        <v>442</v>
      </c>
      <c r="C141" s="159" t="s">
        <v>443</v>
      </c>
      <c r="D141" s="66" t="s">
        <v>32</v>
      </c>
      <c r="E141" s="68" t="n">
        <v>1</v>
      </c>
      <c r="F141" s="68"/>
      <c r="G141" s="153"/>
      <c r="H141" s="153" t="n">
        <f aca="false">F141+G141</f>
        <v>0</v>
      </c>
      <c r="I141" s="69" t="n">
        <f aca="false">E141*H141</f>
        <v>0</v>
      </c>
      <c r="J141" s="72" t="s">
        <v>229</v>
      </c>
      <c r="K141" s="118"/>
      <c r="L141" s="149"/>
    </row>
    <row r="142" s="39" customFormat="true" ht="157.5" hidden="false" customHeight="true" outlineLevel="1" collapsed="false">
      <c r="A142" s="65" t="n">
        <f aca="false">ROW()-12</f>
        <v>130</v>
      </c>
      <c r="B142" s="88" t="s">
        <v>444</v>
      </c>
      <c r="C142" s="159" t="s">
        <v>445</v>
      </c>
      <c r="D142" s="66" t="s">
        <v>32</v>
      </c>
      <c r="E142" s="68" t="n">
        <v>2</v>
      </c>
      <c r="F142" s="68"/>
      <c r="G142" s="153"/>
      <c r="H142" s="153" t="n">
        <f aca="false">F142+G142</f>
        <v>0</v>
      </c>
      <c r="I142" s="69" t="n">
        <f aca="false">E142*H142</f>
        <v>0</v>
      </c>
      <c r="J142" s="72" t="s">
        <v>229</v>
      </c>
      <c r="K142" s="118"/>
      <c r="L142" s="149"/>
    </row>
    <row r="143" s="39" customFormat="true" ht="52.5" hidden="false" customHeight="true" outlineLevel="1" collapsed="false">
      <c r="A143" s="65" t="n">
        <f aca="false">ROW()-12</f>
        <v>131</v>
      </c>
      <c r="B143" s="66" t="s">
        <v>235</v>
      </c>
      <c r="C143" s="160" t="s">
        <v>236</v>
      </c>
      <c r="D143" s="66" t="s">
        <v>163</v>
      </c>
      <c r="E143" s="68" t="n">
        <v>1</v>
      </c>
      <c r="F143" s="68"/>
      <c r="G143" s="153"/>
      <c r="H143" s="153" t="n">
        <f aca="false">F143+G143</f>
        <v>0</v>
      </c>
      <c r="I143" s="69" t="n">
        <f aca="false">E143*H143</f>
        <v>0</v>
      </c>
      <c r="J143" s="71"/>
      <c r="K143" s="118"/>
      <c r="L143" s="149"/>
    </row>
    <row r="144" s="39" customFormat="true" ht="123" hidden="false" customHeight="true" outlineLevel="1" collapsed="false">
      <c r="A144" s="65" t="n">
        <f aca="false">ROW()-12</f>
        <v>132</v>
      </c>
      <c r="B144" s="66" t="s">
        <v>446</v>
      </c>
      <c r="C144" s="159" t="s">
        <v>447</v>
      </c>
      <c r="D144" s="66" t="s">
        <v>102</v>
      </c>
      <c r="E144" s="68" t="n">
        <v>13</v>
      </c>
      <c r="F144" s="68"/>
      <c r="G144" s="153"/>
      <c r="H144" s="153" t="n">
        <f aca="false">F144+G144</f>
        <v>0</v>
      </c>
      <c r="I144" s="69" t="n">
        <f aca="false">E144*H144</f>
        <v>0</v>
      </c>
      <c r="J144" s="71"/>
      <c r="K144" s="118"/>
      <c r="L144" s="149"/>
    </row>
    <row r="145" s="39" customFormat="true" ht="123" hidden="false" customHeight="true" outlineLevel="1" collapsed="false">
      <c r="A145" s="65" t="n">
        <f aca="false">ROW()-12</f>
        <v>133</v>
      </c>
      <c r="B145" s="66" t="s">
        <v>446</v>
      </c>
      <c r="C145" s="67" t="s">
        <v>448</v>
      </c>
      <c r="D145" s="66" t="s">
        <v>102</v>
      </c>
      <c r="E145" s="68" t="n">
        <v>92</v>
      </c>
      <c r="F145" s="68"/>
      <c r="G145" s="153"/>
      <c r="H145" s="153" t="n">
        <f aca="false">F145+G145</f>
        <v>0</v>
      </c>
      <c r="I145" s="69" t="n">
        <f aca="false">E145*H145</f>
        <v>0</v>
      </c>
      <c r="J145" s="71"/>
      <c r="K145" s="118"/>
      <c r="L145" s="149"/>
    </row>
    <row r="146" s="39" customFormat="true" ht="146.25" hidden="false" customHeight="true" outlineLevel="1" collapsed="false">
      <c r="A146" s="65" t="n">
        <f aca="false">ROW()-12</f>
        <v>134</v>
      </c>
      <c r="B146" s="66" t="s">
        <v>449</v>
      </c>
      <c r="C146" s="159" t="s">
        <v>450</v>
      </c>
      <c r="D146" s="66" t="s">
        <v>102</v>
      </c>
      <c r="E146" s="68" t="n">
        <v>48</v>
      </c>
      <c r="F146" s="68"/>
      <c r="G146" s="153"/>
      <c r="H146" s="153" t="n">
        <f aca="false">F146+G146</f>
        <v>0</v>
      </c>
      <c r="I146" s="69" t="n">
        <f aca="false">E146*H146</f>
        <v>0</v>
      </c>
      <c r="J146" s="71"/>
      <c r="K146" s="118"/>
      <c r="L146" s="149"/>
    </row>
    <row r="147" s="39" customFormat="true" ht="146.25" hidden="false" customHeight="true" outlineLevel="1" collapsed="false">
      <c r="A147" s="65" t="n">
        <f aca="false">ROW()-12</f>
        <v>135</v>
      </c>
      <c r="B147" s="66" t="s">
        <v>451</v>
      </c>
      <c r="C147" s="159" t="s">
        <v>452</v>
      </c>
      <c r="D147" s="66" t="s">
        <v>102</v>
      </c>
      <c r="E147" s="68" t="n">
        <v>96</v>
      </c>
      <c r="F147" s="68"/>
      <c r="G147" s="153"/>
      <c r="H147" s="153" t="n">
        <f aca="false">F147+G147</f>
        <v>0</v>
      </c>
      <c r="I147" s="69" t="n">
        <f aca="false">E147*H147</f>
        <v>0</v>
      </c>
      <c r="J147" s="71"/>
      <c r="K147" s="118"/>
      <c r="L147" s="149"/>
    </row>
    <row r="148" s="39" customFormat="true" ht="52.5" hidden="false" customHeight="true" outlineLevel="1" collapsed="false">
      <c r="A148" s="65" t="n">
        <f aca="false">ROW()-12</f>
        <v>136</v>
      </c>
      <c r="B148" s="66" t="s">
        <v>453</v>
      </c>
      <c r="C148" s="159" t="s">
        <v>454</v>
      </c>
      <c r="D148" s="66" t="s">
        <v>102</v>
      </c>
      <c r="E148" s="68" t="n">
        <v>48</v>
      </c>
      <c r="F148" s="68"/>
      <c r="G148" s="153"/>
      <c r="H148" s="153" t="n">
        <f aca="false">F148+G148</f>
        <v>0</v>
      </c>
      <c r="I148" s="69" t="n">
        <f aca="false">E148*H148</f>
        <v>0</v>
      </c>
      <c r="J148" s="71" t="s">
        <v>455</v>
      </c>
      <c r="K148" s="118"/>
      <c r="L148" s="149"/>
    </row>
    <row r="149" s="39" customFormat="true" ht="52.5" hidden="false" customHeight="true" outlineLevel="1" collapsed="false">
      <c r="A149" s="65" t="n">
        <f aca="false">ROW()-12</f>
        <v>137</v>
      </c>
      <c r="B149" s="66" t="s">
        <v>248</v>
      </c>
      <c r="C149" s="159" t="s">
        <v>249</v>
      </c>
      <c r="D149" s="66" t="s">
        <v>102</v>
      </c>
      <c r="E149" s="68" t="n">
        <v>58</v>
      </c>
      <c r="F149" s="68"/>
      <c r="G149" s="153"/>
      <c r="H149" s="153" t="n">
        <f aca="false">F149+G149</f>
        <v>0</v>
      </c>
      <c r="I149" s="69" t="n">
        <f aca="false">E149*H149</f>
        <v>0</v>
      </c>
      <c r="J149" s="71" t="s">
        <v>455</v>
      </c>
      <c r="K149" s="118"/>
      <c r="L149" s="149"/>
    </row>
    <row r="150" s="39" customFormat="true" ht="75.75" hidden="false" customHeight="true" outlineLevel="1" collapsed="false">
      <c r="A150" s="65" t="n">
        <f aca="false">ROW()-12</f>
        <v>138</v>
      </c>
      <c r="B150" s="66" t="s">
        <v>200</v>
      </c>
      <c r="C150" s="159" t="s">
        <v>250</v>
      </c>
      <c r="D150" s="86" t="s">
        <v>66</v>
      </c>
      <c r="E150" s="87" t="n">
        <v>558</v>
      </c>
      <c r="F150" s="87"/>
      <c r="G150" s="153"/>
      <c r="H150" s="153" t="n">
        <f aca="false">F150+G150</f>
        <v>0</v>
      </c>
      <c r="I150" s="69" t="n">
        <f aca="false">E150*H150</f>
        <v>0</v>
      </c>
      <c r="J150" s="71" t="s">
        <v>194</v>
      </c>
      <c r="K150" s="118"/>
      <c r="L150" s="149"/>
    </row>
    <row r="151" s="39" customFormat="true" ht="75.75" hidden="false" customHeight="true" outlineLevel="1" collapsed="false">
      <c r="A151" s="65" t="n">
        <f aca="false">ROW()-12</f>
        <v>139</v>
      </c>
      <c r="B151" s="66" t="s">
        <v>200</v>
      </c>
      <c r="C151" s="159" t="s">
        <v>251</v>
      </c>
      <c r="D151" s="86" t="s">
        <v>66</v>
      </c>
      <c r="E151" s="87" t="n">
        <v>221</v>
      </c>
      <c r="F151" s="87"/>
      <c r="G151" s="153"/>
      <c r="H151" s="153" t="n">
        <f aca="false">F151+G151</f>
        <v>0</v>
      </c>
      <c r="I151" s="69" t="n">
        <f aca="false">E151*H151</f>
        <v>0</v>
      </c>
      <c r="J151" s="71" t="s">
        <v>194</v>
      </c>
      <c r="K151" s="118"/>
      <c r="L151" s="149"/>
    </row>
    <row r="152" s="39" customFormat="true" ht="75.75" hidden="false" customHeight="true" outlineLevel="1" collapsed="false">
      <c r="A152" s="65" t="n">
        <f aca="false">ROW()-12</f>
        <v>140</v>
      </c>
      <c r="B152" s="66" t="s">
        <v>200</v>
      </c>
      <c r="C152" s="159" t="s">
        <v>456</v>
      </c>
      <c r="D152" s="86" t="s">
        <v>66</v>
      </c>
      <c r="E152" s="87" t="n">
        <v>7712</v>
      </c>
      <c r="F152" s="87"/>
      <c r="G152" s="153"/>
      <c r="H152" s="153" t="n">
        <f aca="false">F152+G152</f>
        <v>0</v>
      </c>
      <c r="I152" s="69" t="n">
        <f aca="false">E152*H152</f>
        <v>0</v>
      </c>
      <c r="J152" s="71" t="s">
        <v>194</v>
      </c>
      <c r="K152" s="118"/>
      <c r="L152" s="149"/>
    </row>
    <row r="153" s="39" customFormat="true" ht="75.75" hidden="false" customHeight="true" outlineLevel="1" collapsed="false">
      <c r="A153" s="65" t="n">
        <f aca="false">ROW()-12</f>
        <v>141</v>
      </c>
      <c r="B153" s="66" t="s">
        <v>200</v>
      </c>
      <c r="C153" s="159" t="s">
        <v>252</v>
      </c>
      <c r="D153" s="86" t="s">
        <v>66</v>
      </c>
      <c r="E153" s="87" t="n">
        <v>3852</v>
      </c>
      <c r="F153" s="87"/>
      <c r="G153" s="153"/>
      <c r="H153" s="153" t="n">
        <f aca="false">F153+G153</f>
        <v>0</v>
      </c>
      <c r="I153" s="69" t="n">
        <f aca="false">E153*H153</f>
        <v>0</v>
      </c>
      <c r="J153" s="71" t="s">
        <v>194</v>
      </c>
      <c r="K153" s="118"/>
      <c r="L153" s="149"/>
    </row>
    <row r="154" s="39" customFormat="true" ht="75.75" hidden="false" customHeight="true" outlineLevel="1" collapsed="false">
      <c r="A154" s="65" t="n">
        <f aca="false">ROW()-12</f>
        <v>142</v>
      </c>
      <c r="B154" s="66" t="s">
        <v>200</v>
      </c>
      <c r="C154" s="159" t="s">
        <v>253</v>
      </c>
      <c r="D154" s="86" t="s">
        <v>66</v>
      </c>
      <c r="E154" s="87" t="n">
        <v>6062</v>
      </c>
      <c r="F154" s="87"/>
      <c r="G154" s="153"/>
      <c r="H154" s="153" t="n">
        <f aca="false">F154+G154</f>
        <v>0</v>
      </c>
      <c r="I154" s="69" t="n">
        <f aca="false">E154*H154</f>
        <v>0</v>
      </c>
      <c r="J154" s="71" t="s">
        <v>194</v>
      </c>
      <c r="K154" s="118"/>
      <c r="L154" s="149"/>
    </row>
    <row r="155" s="39" customFormat="true" ht="75.75" hidden="false" customHeight="true" outlineLevel="1" collapsed="false">
      <c r="A155" s="65" t="n">
        <f aca="false">ROW()-12</f>
        <v>143</v>
      </c>
      <c r="B155" s="66" t="s">
        <v>200</v>
      </c>
      <c r="C155" s="159" t="s">
        <v>254</v>
      </c>
      <c r="D155" s="86" t="s">
        <v>66</v>
      </c>
      <c r="E155" s="87" t="n">
        <v>4939</v>
      </c>
      <c r="F155" s="87"/>
      <c r="G155" s="153"/>
      <c r="H155" s="153" t="n">
        <f aca="false">F155+G155</f>
        <v>0</v>
      </c>
      <c r="I155" s="69" t="n">
        <f aca="false">E155*H155</f>
        <v>0</v>
      </c>
      <c r="J155" s="71" t="s">
        <v>194</v>
      </c>
      <c r="K155" s="118"/>
      <c r="L155" s="149"/>
    </row>
    <row r="156" s="39" customFormat="true" ht="75.75" hidden="false" customHeight="true" outlineLevel="1" collapsed="false">
      <c r="A156" s="65" t="n">
        <f aca="false">ROW()-12</f>
        <v>144</v>
      </c>
      <c r="B156" s="66" t="s">
        <v>200</v>
      </c>
      <c r="C156" s="159" t="s">
        <v>255</v>
      </c>
      <c r="D156" s="86" t="s">
        <v>66</v>
      </c>
      <c r="E156" s="87" t="n">
        <v>3936</v>
      </c>
      <c r="F156" s="87"/>
      <c r="G156" s="153"/>
      <c r="H156" s="153" t="n">
        <f aca="false">F156+G156</f>
        <v>0</v>
      </c>
      <c r="I156" s="69" t="n">
        <f aca="false">E156*H156</f>
        <v>0</v>
      </c>
      <c r="J156" s="71" t="s">
        <v>194</v>
      </c>
      <c r="K156" s="118"/>
      <c r="L156" s="149"/>
    </row>
    <row r="157" s="39" customFormat="true" ht="99" hidden="false" customHeight="true" outlineLevel="1" collapsed="false">
      <c r="A157" s="65" t="n">
        <f aca="false">ROW()-12</f>
        <v>145</v>
      </c>
      <c r="B157" s="66" t="s">
        <v>202</v>
      </c>
      <c r="C157" s="159" t="s">
        <v>206</v>
      </c>
      <c r="D157" s="86" t="s">
        <v>66</v>
      </c>
      <c r="E157" s="87" t="n">
        <v>490</v>
      </c>
      <c r="F157" s="87"/>
      <c r="G157" s="153"/>
      <c r="H157" s="153" t="n">
        <f aca="false">F157+G157</f>
        <v>0</v>
      </c>
      <c r="I157" s="69" t="n">
        <f aca="false">E157*H157</f>
        <v>0</v>
      </c>
      <c r="J157" s="71" t="s">
        <v>53</v>
      </c>
      <c r="K157" s="118"/>
      <c r="L157" s="149"/>
    </row>
    <row r="158" s="39" customFormat="true" ht="99" hidden="false" customHeight="true" outlineLevel="1" collapsed="false">
      <c r="A158" s="65" t="n">
        <f aca="false">ROW()-12</f>
        <v>146</v>
      </c>
      <c r="B158" s="88" t="s">
        <v>208</v>
      </c>
      <c r="C158" s="159" t="s">
        <v>210</v>
      </c>
      <c r="D158" s="86" t="s">
        <v>66</v>
      </c>
      <c r="E158" s="87" t="n">
        <v>2620</v>
      </c>
      <c r="F158" s="87"/>
      <c r="G158" s="153"/>
      <c r="H158" s="153" t="n">
        <f aca="false">F158+G158</f>
        <v>0</v>
      </c>
      <c r="I158" s="69" t="n">
        <f aca="false">E158*H158</f>
        <v>0</v>
      </c>
      <c r="J158" s="71" t="s">
        <v>86</v>
      </c>
      <c r="K158" s="118"/>
      <c r="L158" s="149"/>
    </row>
    <row r="159" s="39" customFormat="true" ht="52.5" hidden="false" customHeight="true" outlineLevel="1" collapsed="false">
      <c r="A159" s="65" t="n">
        <f aca="false">ROW()-12</f>
        <v>147</v>
      </c>
      <c r="B159" s="66" t="s">
        <v>457</v>
      </c>
      <c r="C159" s="159" t="s">
        <v>458</v>
      </c>
      <c r="D159" s="86" t="s">
        <v>98</v>
      </c>
      <c r="E159" s="87" t="n">
        <v>413.8</v>
      </c>
      <c r="F159" s="87"/>
      <c r="G159" s="153"/>
      <c r="H159" s="153" t="n">
        <f aca="false">F159+G159</f>
        <v>0</v>
      </c>
      <c r="I159" s="69" t="n">
        <f aca="false">E159*H159</f>
        <v>0</v>
      </c>
      <c r="J159" s="71" t="s">
        <v>99</v>
      </c>
      <c r="K159" s="118"/>
      <c r="L159" s="149"/>
    </row>
    <row r="160" s="39" customFormat="true" ht="52.5" hidden="false" customHeight="true" outlineLevel="1" collapsed="false">
      <c r="A160" s="65" t="n">
        <f aca="false">ROW()-12</f>
        <v>148</v>
      </c>
      <c r="B160" s="66" t="s">
        <v>262</v>
      </c>
      <c r="C160" s="159" t="s">
        <v>459</v>
      </c>
      <c r="D160" s="86" t="s">
        <v>98</v>
      </c>
      <c r="E160" s="87" t="n">
        <v>5924.1</v>
      </c>
      <c r="F160" s="87"/>
      <c r="G160" s="153"/>
      <c r="H160" s="153" t="n">
        <f aca="false">F160+G160</f>
        <v>0</v>
      </c>
      <c r="I160" s="69" t="n">
        <f aca="false">E160*H160</f>
        <v>0</v>
      </c>
      <c r="J160" s="71" t="s">
        <v>99</v>
      </c>
      <c r="K160" s="118"/>
      <c r="L160" s="149"/>
    </row>
    <row r="161" s="39" customFormat="true" ht="40.5" hidden="false" customHeight="true" outlineLevel="1" collapsed="false">
      <c r="A161" s="65" t="n">
        <f aca="false">ROW()-12</f>
        <v>149</v>
      </c>
      <c r="B161" s="66" t="s">
        <v>213</v>
      </c>
      <c r="C161" s="160" t="s">
        <v>214</v>
      </c>
      <c r="D161" s="66" t="s">
        <v>163</v>
      </c>
      <c r="E161" s="68" t="n">
        <v>1</v>
      </c>
      <c r="F161" s="68"/>
      <c r="G161" s="153"/>
      <c r="H161" s="153" t="n">
        <f aca="false">F161+G161</f>
        <v>0</v>
      </c>
      <c r="I161" s="69" t="n">
        <f aca="false">E161*H161</f>
        <v>0</v>
      </c>
      <c r="J161" s="71" t="s">
        <v>99</v>
      </c>
      <c r="K161" s="118"/>
      <c r="L161" s="149"/>
    </row>
    <row r="162" s="39" customFormat="true" ht="29.25" hidden="false" customHeight="true" outlineLevel="0" collapsed="false">
      <c r="A162" s="65"/>
      <c r="B162" s="79" t="s">
        <v>57</v>
      </c>
      <c r="C162" s="102"/>
      <c r="D162" s="86"/>
      <c r="E162" s="80"/>
      <c r="F162" s="80"/>
      <c r="G162" s="153"/>
      <c r="H162" s="81"/>
      <c r="I162" s="82" t="n">
        <f aca="false">SUM(I138:I161)</f>
        <v>0</v>
      </c>
      <c r="J162" s="83"/>
      <c r="K162" s="118"/>
      <c r="L162" s="149"/>
    </row>
    <row r="163" s="39" customFormat="true" ht="29.25" hidden="false" customHeight="true" outlineLevel="0" collapsed="false">
      <c r="A163" s="84" t="s">
        <v>460</v>
      </c>
      <c r="B163" s="79" t="s">
        <v>217</v>
      </c>
      <c r="C163" s="102"/>
      <c r="D163" s="86"/>
      <c r="E163" s="80"/>
      <c r="F163" s="80"/>
      <c r="G163" s="153"/>
      <c r="H163" s="81"/>
      <c r="I163" s="82"/>
      <c r="J163" s="83"/>
      <c r="K163" s="118"/>
      <c r="L163" s="149"/>
    </row>
    <row r="164" s="39" customFormat="true" ht="40.5" hidden="false" customHeight="true" outlineLevel="1" collapsed="false">
      <c r="A164" s="65" t="n">
        <f aca="false">ROW()-14</f>
        <v>150</v>
      </c>
      <c r="B164" s="66" t="s">
        <v>218</v>
      </c>
      <c r="C164" s="102"/>
      <c r="D164" s="66" t="s">
        <v>163</v>
      </c>
      <c r="E164" s="68" t="n">
        <v>1</v>
      </c>
      <c r="F164" s="68"/>
      <c r="G164" s="153"/>
      <c r="H164" s="153" t="n">
        <f aca="false">F164+G164</f>
        <v>0</v>
      </c>
      <c r="I164" s="69" t="n">
        <f aca="false">E164*H164</f>
        <v>0</v>
      </c>
      <c r="J164" s="71"/>
      <c r="K164" s="118"/>
      <c r="L164" s="149"/>
    </row>
    <row r="165" s="39" customFormat="true" ht="40.5" hidden="false" customHeight="true" outlineLevel="1" collapsed="false">
      <c r="A165" s="65" t="n">
        <f aca="false">ROW()-14</f>
        <v>151</v>
      </c>
      <c r="B165" s="66" t="s">
        <v>219</v>
      </c>
      <c r="C165" s="102"/>
      <c r="D165" s="66" t="s">
        <v>163</v>
      </c>
      <c r="E165" s="68" t="n">
        <v>1</v>
      </c>
      <c r="F165" s="68"/>
      <c r="G165" s="153"/>
      <c r="H165" s="153" t="n">
        <f aca="false">F165+G165</f>
        <v>0</v>
      </c>
      <c r="I165" s="69" t="n">
        <f aca="false">E165*H165</f>
        <v>0</v>
      </c>
      <c r="J165" s="71"/>
      <c r="K165" s="118"/>
      <c r="L165" s="149"/>
    </row>
    <row r="166" s="39" customFormat="true" ht="29.25" hidden="false" customHeight="true" outlineLevel="0" collapsed="false">
      <c r="A166" s="65"/>
      <c r="B166" s="79" t="s">
        <v>57</v>
      </c>
      <c r="C166" s="86"/>
      <c r="D166" s="86"/>
      <c r="E166" s="68"/>
      <c r="F166" s="68"/>
      <c r="G166" s="81"/>
      <c r="H166" s="81"/>
      <c r="I166" s="82" t="n">
        <f aca="false">SUM(I164:I165)</f>
        <v>0</v>
      </c>
      <c r="J166" s="71"/>
      <c r="K166" s="118"/>
      <c r="L166" s="149"/>
    </row>
    <row r="167" s="39" customFormat="true" ht="29.25" hidden="false" customHeight="true" outlineLevel="0" collapsed="false">
      <c r="A167" s="139"/>
      <c r="B167" s="140" t="s">
        <v>461</v>
      </c>
      <c r="C167" s="140"/>
      <c r="D167" s="105"/>
      <c r="E167" s="106"/>
      <c r="F167" s="106"/>
      <c r="G167" s="107"/>
      <c r="H167" s="107"/>
      <c r="I167" s="108" t="n">
        <f aca="false">I23+I64+I116+I136+I162+I166</f>
        <v>0</v>
      </c>
      <c r="J167" s="109"/>
      <c r="K167" s="118"/>
      <c r="L167" s="161"/>
      <c r="M167" s="46"/>
    </row>
  </sheetData>
  <mergeCells count="12">
    <mergeCell ref="A1:J1"/>
    <mergeCell ref="A2:J2"/>
    <mergeCell ref="A3:A4"/>
    <mergeCell ref="B3:B4"/>
    <mergeCell ref="C3:C4"/>
    <mergeCell ref="D3:D4"/>
    <mergeCell ref="E3:E4"/>
    <mergeCell ref="F3:G3"/>
    <mergeCell ref="H3:H4"/>
    <mergeCell ref="I3:I4"/>
    <mergeCell ref="J3:J4"/>
    <mergeCell ref="B167:C167"/>
  </mergeCells>
  <printOptions headings="false" gridLines="false" gridLinesSet="true" horizontalCentered="false" verticalCentered="false"/>
  <pageMargins left="0.471527777777778" right="0.393055555555556" top="0.590277777777778" bottom="0.589583333333333" header="0.511811023622047" footer="0.118055555555556"/>
  <pageSetup paperSize="9" scale="100" fitToWidth="1" fitToHeight="0" pageOrder="downThenOver" orientation="portrait" blackAndWhite="false" draft="false" cellComments="none" horizontalDpi="300" verticalDpi="300" copies="1"/>
  <headerFooter differentFirst="false" differentOddEven="false">
    <oddHeader/>
    <oddFooter>&amp;C第 &amp;P 页，共 &amp;N 页 / Trang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42"/>
  <sheetViews>
    <sheetView showFormulas="false" showGridLines="true" showRowColHeaders="true" showZeros="true" rightToLeft="false" tabSelected="false" showOutlineSymbols="true" defaultGridColor="true" view="pageBreakPreview" topLeftCell="A1" colorId="64" zoomScale="100" zoomScaleNormal="115" zoomScalePageLayoutView="100" workbookViewId="0">
      <pane xSplit="0" ySplit="4" topLeftCell="A127" activePane="bottomLeft" state="frozen"/>
      <selection pane="topLeft" activeCell="A1" activeCellId="0" sqref="A1"/>
      <selection pane="bottomLeft" activeCell="G6" activeCellId="0" sqref="G6"/>
    </sheetView>
  </sheetViews>
  <sheetFormatPr defaultColWidth="9.00390625" defaultRowHeight="12" zeroHeight="false" outlineLevelRow="1" outlineLevelCol="0"/>
  <cols>
    <col collapsed="false" customWidth="true" hidden="false" outlineLevel="0" max="1" min="1" style="95" width="6.37"/>
    <col collapsed="false" customWidth="true" hidden="false" outlineLevel="0" max="2" min="2" style="142" width="24"/>
    <col collapsed="false" customWidth="true" hidden="false" outlineLevel="0" max="3" min="3" style="95" width="52"/>
    <col collapsed="false" customWidth="true" hidden="false" outlineLevel="0" max="4" min="4" style="142" width="8"/>
    <col collapsed="false" customWidth="true" hidden="false" outlineLevel="0" max="5" min="5" style="143" width="8.63"/>
    <col collapsed="false" customWidth="true" hidden="false" outlineLevel="0" max="6" min="6" style="143" width="12.81"/>
    <col collapsed="false" customWidth="true" hidden="false" outlineLevel="0" max="7" min="7" style="144" width="15.46"/>
    <col collapsed="false" customWidth="true" hidden="false" outlineLevel="0" max="8" min="8" style="144" width="14.91"/>
    <col collapsed="false" customWidth="true" hidden="false" outlineLevel="0" max="9" min="9" style="144" width="15.91"/>
    <col collapsed="false" customWidth="true" hidden="false" outlineLevel="0" max="10" min="10" style="142" width="20"/>
    <col collapsed="false" customWidth="true" hidden="false" outlineLevel="0" max="11" min="11" style="2" width="12"/>
    <col collapsed="false" customWidth="true" hidden="false" outlineLevel="0" max="12" min="12" style="2" width="13.33"/>
    <col collapsed="false" customWidth="true" hidden="false" outlineLevel="0" max="13" min="13" style="2" width="12"/>
    <col collapsed="false" customWidth="false" hidden="false" outlineLevel="0" max="16384" min="14" style="95" width="9"/>
  </cols>
  <sheetData>
    <row r="1" customFormat="false" ht="57.75" hidden="false" customHeight="true" outlineLevel="0" collapsed="false">
      <c r="A1" s="147" t="s">
        <v>15</v>
      </c>
      <c r="B1" s="147"/>
      <c r="C1" s="147"/>
      <c r="D1" s="147"/>
      <c r="E1" s="147"/>
      <c r="F1" s="147"/>
      <c r="G1" s="147"/>
      <c r="H1" s="147"/>
      <c r="I1" s="147"/>
      <c r="J1" s="147"/>
    </row>
    <row r="2" s="78" customFormat="true" ht="29.25" hidden="false" customHeight="true" outlineLevel="0" collapsed="false">
      <c r="A2" s="148" t="s">
        <v>462</v>
      </c>
      <c r="B2" s="148"/>
      <c r="C2" s="148"/>
      <c r="D2" s="148"/>
      <c r="E2" s="148"/>
      <c r="F2" s="148"/>
      <c r="G2" s="148"/>
      <c r="H2" s="148"/>
      <c r="I2" s="148"/>
      <c r="J2" s="148"/>
      <c r="K2" s="118"/>
      <c r="L2" s="162"/>
      <c r="M2" s="162"/>
    </row>
    <row r="3" s="78" customFormat="true" ht="29.25" hidden="false" customHeight="true" outlineLevel="0" collapsed="false">
      <c r="A3" s="52" t="s">
        <v>17</v>
      </c>
      <c r="B3" s="53" t="s">
        <v>18</v>
      </c>
      <c r="C3" s="53" t="s">
        <v>19</v>
      </c>
      <c r="D3" s="53" t="s">
        <v>20</v>
      </c>
      <c r="E3" s="54" t="s">
        <v>21</v>
      </c>
      <c r="F3" s="54" t="s">
        <v>22</v>
      </c>
      <c r="G3" s="54"/>
      <c r="H3" s="150" t="s">
        <v>23</v>
      </c>
      <c r="I3" s="163" t="s">
        <v>24</v>
      </c>
      <c r="J3" s="151" t="s">
        <v>25</v>
      </c>
      <c r="K3" s="118"/>
      <c r="L3" s="118"/>
      <c r="M3" s="118"/>
    </row>
    <row r="4" customFormat="false" ht="40.5" hidden="false" customHeight="true" outlineLevel="0" collapsed="false">
      <c r="A4" s="52"/>
      <c r="B4" s="53"/>
      <c r="C4" s="53"/>
      <c r="D4" s="53"/>
      <c r="E4" s="53"/>
      <c r="F4" s="58" t="s">
        <v>26</v>
      </c>
      <c r="G4" s="59" t="s">
        <v>27</v>
      </c>
      <c r="H4" s="150"/>
      <c r="I4" s="150"/>
      <c r="J4" s="151"/>
      <c r="K4" s="118"/>
      <c r="L4" s="118"/>
      <c r="M4" s="118"/>
    </row>
    <row r="5" customFormat="false" ht="40.5" hidden="false" customHeight="true" outlineLevel="0" collapsed="false">
      <c r="A5" s="84" t="s">
        <v>28</v>
      </c>
      <c r="B5" s="79" t="s">
        <v>29</v>
      </c>
      <c r="C5" s="152"/>
      <c r="D5" s="79"/>
      <c r="E5" s="80"/>
      <c r="F5" s="80"/>
      <c r="G5" s="81"/>
      <c r="H5" s="81"/>
      <c r="I5" s="81"/>
      <c r="J5" s="83"/>
      <c r="K5" s="118"/>
      <c r="L5" s="118"/>
      <c r="M5" s="118"/>
    </row>
    <row r="6" s="78" customFormat="true" ht="298.5" hidden="false" customHeight="true" outlineLevel="1" collapsed="false">
      <c r="A6" s="65" t="n">
        <v>1</v>
      </c>
      <c r="B6" s="66" t="s">
        <v>266</v>
      </c>
      <c r="C6" s="67" t="s">
        <v>267</v>
      </c>
      <c r="D6" s="66" t="s">
        <v>32</v>
      </c>
      <c r="E6" s="68" t="n">
        <v>4</v>
      </c>
      <c r="F6" s="68"/>
      <c r="G6" s="153"/>
      <c r="H6" s="153" t="n">
        <f aca="false">F6+G6</f>
        <v>0</v>
      </c>
      <c r="I6" s="153" t="n">
        <f aca="false">E6*H6</f>
        <v>0</v>
      </c>
      <c r="J6" s="71" t="s">
        <v>56</v>
      </c>
      <c r="K6" s="118"/>
      <c r="L6" s="118"/>
      <c r="M6" s="118"/>
    </row>
    <row r="7" s="78" customFormat="true" ht="298.5" hidden="false" customHeight="true" outlineLevel="1" collapsed="false">
      <c r="A7" s="65" t="n">
        <v>2</v>
      </c>
      <c r="B7" s="66" t="s">
        <v>463</v>
      </c>
      <c r="C7" s="67" t="s">
        <v>464</v>
      </c>
      <c r="D7" s="66" t="s">
        <v>32</v>
      </c>
      <c r="E7" s="68" t="n">
        <v>4</v>
      </c>
      <c r="F7" s="68"/>
      <c r="G7" s="153"/>
      <c r="H7" s="153" t="n">
        <f aca="false">F7+G7</f>
        <v>0</v>
      </c>
      <c r="I7" s="153" t="n">
        <f aca="false">E7*H7</f>
        <v>0</v>
      </c>
      <c r="J7" s="71" t="s">
        <v>56</v>
      </c>
      <c r="K7" s="118"/>
      <c r="L7" s="118"/>
      <c r="M7" s="118"/>
    </row>
    <row r="8" s="78" customFormat="true" ht="286.5" hidden="false" customHeight="true" outlineLevel="1" collapsed="false">
      <c r="A8" s="65" t="n">
        <v>3</v>
      </c>
      <c r="B8" s="66" t="s">
        <v>465</v>
      </c>
      <c r="C8" s="67" t="s">
        <v>466</v>
      </c>
      <c r="D8" s="66" t="s">
        <v>32</v>
      </c>
      <c r="E8" s="68" t="n">
        <v>12</v>
      </c>
      <c r="F8" s="68"/>
      <c r="G8" s="153"/>
      <c r="H8" s="153" t="n">
        <f aca="false">F8+G8</f>
        <v>0</v>
      </c>
      <c r="I8" s="153" t="n">
        <f aca="false">E8*H8</f>
        <v>0</v>
      </c>
      <c r="J8" s="71" t="s">
        <v>56</v>
      </c>
      <c r="K8" s="118"/>
      <c r="L8" s="118"/>
      <c r="M8" s="118"/>
    </row>
    <row r="9" s="78" customFormat="true" ht="169.5" hidden="false" customHeight="true" outlineLevel="1" collapsed="false">
      <c r="A9" s="65" t="n">
        <v>4</v>
      </c>
      <c r="B9" s="66" t="s">
        <v>272</v>
      </c>
      <c r="C9" s="67" t="s">
        <v>273</v>
      </c>
      <c r="D9" s="66" t="s">
        <v>32</v>
      </c>
      <c r="E9" s="68" t="n">
        <v>19</v>
      </c>
      <c r="F9" s="68"/>
      <c r="G9" s="153"/>
      <c r="H9" s="153" t="n">
        <f aca="false">F9+G9</f>
        <v>0</v>
      </c>
      <c r="I9" s="153" t="n">
        <f aca="false">E9*H9</f>
        <v>0</v>
      </c>
      <c r="J9" s="71" t="s">
        <v>56</v>
      </c>
      <c r="K9" s="118"/>
      <c r="L9" s="118"/>
      <c r="M9" s="118"/>
    </row>
    <row r="10" s="78" customFormat="true" ht="169.5" hidden="false" customHeight="true" outlineLevel="1" collapsed="false">
      <c r="A10" s="65" t="n">
        <v>5</v>
      </c>
      <c r="B10" s="66" t="s">
        <v>276</v>
      </c>
      <c r="C10" s="67" t="s">
        <v>277</v>
      </c>
      <c r="D10" s="66" t="s">
        <v>32</v>
      </c>
      <c r="E10" s="68" t="n">
        <v>6</v>
      </c>
      <c r="F10" s="68"/>
      <c r="G10" s="153"/>
      <c r="H10" s="153" t="n">
        <f aca="false">F10+G10</f>
        <v>0</v>
      </c>
      <c r="I10" s="153" t="n">
        <f aca="false">E10*H10</f>
        <v>0</v>
      </c>
      <c r="J10" s="71" t="s">
        <v>56</v>
      </c>
      <c r="K10" s="118"/>
      <c r="L10" s="118"/>
      <c r="M10" s="118"/>
    </row>
    <row r="11" s="154" customFormat="true" ht="146.25" hidden="false" customHeight="true" outlineLevel="1" collapsed="false">
      <c r="A11" s="65" t="n">
        <v>6</v>
      </c>
      <c r="B11" s="66" t="s">
        <v>288</v>
      </c>
      <c r="C11" s="67" t="s">
        <v>289</v>
      </c>
      <c r="D11" s="86" t="s">
        <v>98</v>
      </c>
      <c r="E11" s="87" t="n">
        <v>2321.7</v>
      </c>
      <c r="F11" s="87"/>
      <c r="G11" s="153"/>
      <c r="H11" s="153" t="n">
        <f aca="false">F11+G11</f>
        <v>0</v>
      </c>
      <c r="I11" s="153" t="n">
        <f aca="false">E11*H11</f>
        <v>0</v>
      </c>
      <c r="J11" s="71" t="s">
        <v>99</v>
      </c>
      <c r="K11" s="118"/>
      <c r="L11" s="118"/>
      <c r="M11" s="118"/>
    </row>
    <row r="12" s="154" customFormat="true" ht="146.25" hidden="false" customHeight="true" outlineLevel="1" collapsed="false">
      <c r="A12" s="65" t="n">
        <v>7</v>
      </c>
      <c r="B12" s="66" t="s">
        <v>467</v>
      </c>
      <c r="C12" s="67" t="s">
        <v>289</v>
      </c>
      <c r="D12" s="86" t="s">
        <v>98</v>
      </c>
      <c r="E12" s="87" t="n">
        <v>2321.7</v>
      </c>
      <c r="F12" s="87"/>
      <c r="G12" s="153"/>
      <c r="H12" s="153" t="n">
        <f aca="false">F12+G12</f>
        <v>0</v>
      </c>
      <c r="I12" s="153" t="n">
        <f aca="false">E12*H12</f>
        <v>0</v>
      </c>
      <c r="J12" s="71" t="s">
        <v>99</v>
      </c>
      <c r="K12" s="118"/>
      <c r="L12" s="118"/>
      <c r="M12" s="118"/>
    </row>
    <row r="13" s="154" customFormat="true" ht="146.25" hidden="false" customHeight="true" outlineLevel="1" collapsed="false">
      <c r="A13" s="65" t="n">
        <v>8</v>
      </c>
      <c r="B13" s="66" t="s">
        <v>468</v>
      </c>
      <c r="C13" s="67" t="s">
        <v>291</v>
      </c>
      <c r="D13" s="86" t="s">
        <v>98</v>
      </c>
      <c r="E13" s="87" t="n">
        <v>5040.5</v>
      </c>
      <c r="F13" s="87"/>
      <c r="G13" s="153"/>
      <c r="H13" s="153" t="n">
        <f aca="false">F13+G13</f>
        <v>0</v>
      </c>
      <c r="I13" s="153" t="n">
        <f aca="false">E13*H13</f>
        <v>0</v>
      </c>
      <c r="J13" s="71" t="s">
        <v>99</v>
      </c>
      <c r="K13" s="118"/>
      <c r="L13" s="118"/>
      <c r="M13" s="118"/>
    </row>
    <row r="14" s="154" customFormat="true" ht="146.25" hidden="false" customHeight="true" outlineLevel="1" collapsed="false">
      <c r="A14" s="65" t="n">
        <v>9</v>
      </c>
      <c r="B14" s="66" t="s">
        <v>292</v>
      </c>
      <c r="C14" s="67" t="s">
        <v>469</v>
      </c>
      <c r="D14" s="86" t="s">
        <v>98</v>
      </c>
      <c r="E14" s="87" t="n">
        <v>5235</v>
      </c>
      <c r="F14" s="87"/>
      <c r="G14" s="153"/>
      <c r="H14" s="153" t="n">
        <f aca="false">F14+G14</f>
        <v>0</v>
      </c>
      <c r="I14" s="153" t="n">
        <f aca="false">E14*H14</f>
        <v>0</v>
      </c>
      <c r="J14" s="71" t="s">
        <v>99</v>
      </c>
      <c r="K14" s="118"/>
      <c r="L14" s="118"/>
      <c r="M14" s="118"/>
    </row>
    <row r="15" s="39" customFormat="true" ht="29.25" hidden="false" customHeight="true" outlineLevel="0" collapsed="false">
      <c r="A15" s="65"/>
      <c r="B15" s="79" t="s">
        <v>57</v>
      </c>
      <c r="C15" s="102"/>
      <c r="D15" s="86"/>
      <c r="E15" s="80"/>
      <c r="F15" s="80"/>
      <c r="G15" s="81"/>
      <c r="H15" s="81"/>
      <c r="I15" s="81" t="n">
        <f aca="false">SUM(I6:I14)</f>
        <v>0</v>
      </c>
      <c r="J15" s="83"/>
      <c r="K15" s="118"/>
      <c r="L15" s="118"/>
      <c r="M15" s="118"/>
    </row>
    <row r="16" customFormat="false" ht="29.25" hidden="false" customHeight="true" outlineLevel="0" collapsed="false">
      <c r="A16" s="84" t="s">
        <v>58</v>
      </c>
      <c r="B16" s="79" t="s">
        <v>298</v>
      </c>
      <c r="C16" s="152"/>
      <c r="D16" s="79"/>
      <c r="E16" s="80"/>
      <c r="F16" s="80"/>
      <c r="G16" s="81"/>
      <c r="H16" s="81"/>
      <c r="I16" s="81"/>
      <c r="J16" s="83"/>
      <c r="K16" s="118"/>
      <c r="L16" s="118"/>
      <c r="M16" s="118"/>
    </row>
    <row r="17" customFormat="false" ht="204.75" hidden="false" customHeight="true" outlineLevel="1" collapsed="false">
      <c r="A17" s="65" t="n">
        <v>10</v>
      </c>
      <c r="B17" s="66" t="s">
        <v>299</v>
      </c>
      <c r="C17" s="67" t="s">
        <v>300</v>
      </c>
      <c r="D17" s="66" t="s">
        <v>301</v>
      </c>
      <c r="E17" s="155" t="n">
        <v>2149.7</v>
      </c>
      <c r="F17" s="155"/>
      <c r="G17" s="153"/>
      <c r="H17" s="153" t="n">
        <f aca="false">F17+G17</f>
        <v>0</v>
      </c>
      <c r="I17" s="153" t="n">
        <f aca="false">E17*H17</f>
        <v>0</v>
      </c>
      <c r="J17" s="71" t="s">
        <v>302</v>
      </c>
      <c r="K17" s="118"/>
      <c r="L17" s="118"/>
      <c r="M17" s="118"/>
    </row>
    <row r="18" customFormat="false" ht="204.75" hidden="false" customHeight="true" outlineLevel="1" collapsed="false">
      <c r="A18" s="65" t="n">
        <v>11</v>
      </c>
      <c r="B18" s="66" t="s">
        <v>299</v>
      </c>
      <c r="C18" s="67" t="s">
        <v>303</v>
      </c>
      <c r="D18" s="66" t="s">
        <v>301</v>
      </c>
      <c r="E18" s="155" t="n">
        <v>3634</v>
      </c>
      <c r="F18" s="155"/>
      <c r="G18" s="153"/>
      <c r="H18" s="153" t="n">
        <f aca="false">F18+G18</f>
        <v>0</v>
      </c>
      <c r="I18" s="153" t="n">
        <f aca="false">E18*H18</f>
        <v>0</v>
      </c>
      <c r="J18" s="71" t="s">
        <v>302</v>
      </c>
      <c r="K18" s="118"/>
      <c r="L18" s="118"/>
      <c r="M18" s="118"/>
    </row>
    <row r="19" customFormat="false" ht="204.75" hidden="false" customHeight="true" outlineLevel="1" collapsed="false">
      <c r="A19" s="65" t="n">
        <v>12</v>
      </c>
      <c r="B19" s="66" t="s">
        <v>299</v>
      </c>
      <c r="C19" s="67" t="s">
        <v>304</v>
      </c>
      <c r="D19" s="66" t="s">
        <v>301</v>
      </c>
      <c r="E19" s="155" t="n">
        <v>1944.6</v>
      </c>
      <c r="F19" s="155"/>
      <c r="G19" s="153"/>
      <c r="H19" s="153" t="n">
        <f aca="false">F19+G19</f>
        <v>0</v>
      </c>
      <c r="I19" s="153" t="n">
        <f aca="false">E19*H19</f>
        <v>0</v>
      </c>
      <c r="J19" s="71" t="s">
        <v>302</v>
      </c>
      <c r="K19" s="118"/>
      <c r="L19" s="118"/>
      <c r="M19" s="118"/>
    </row>
    <row r="20" customFormat="false" ht="204.75" hidden="false" customHeight="true" outlineLevel="1" collapsed="false">
      <c r="A20" s="65" t="n">
        <v>13</v>
      </c>
      <c r="B20" s="66" t="s">
        <v>299</v>
      </c>
      <c r="C20" s="67" t="s">
        <v>305</v>
      </c>
      <c r="D20" s="66" t="s">
        <v>301</v>
      </c>
      <c r="E20" s="155" t="n">
        <v>450</v>
      </c>
      <c r="F20" s="155"/>
      <c r="G20" s="153"/>
      <c r="H20" s="153" t="n">
        <f aca="false">F20+G20</f>
        <v>0</v>
      </c>
      <c r="I20" s="153" t="n">
        <f aca="false">E20*H20</f>
        <v>0</v>
      </c>
      <c r="J20" s="71" t="s">
        <v>302</v>
      </c>
      <c r="K20" s="118"/>
      <c r="L20" s="118"/>
      <c r="M20" s="118"/>
    </row>
    <row r="21" customFormat="false" ht="204.75" hidden="false" customHeight="true" outlineLevel="1" collapsed="false">
      <c r="A21" s="65" t="n">
        <v>14</v>
      </c>
      <c r="B21" s="66" t="s">
        <v>306</v>
      </c>
      <c r="C21" s="67" t="s">
        <v>470</v>
      </c>
      <c r="D21" s="66" t="s">
        <v>102</v>
      </c>
      <c r="E21" s="157" t="n">
        <v>4</v>
      </c>
      <c r="F21" s="157"/>
      <c r="G21" s="153"/>
      <c r="H21" s="153" t="n">
        <f aca="false">F21+G21</f>
        <v>0</v>
      </c>
      <c r="I21" s="153" t="n">
        <f aca="false">E21*H21</f>
        <v>0</v>
      </c>
      <c r="J21" s="71" t="s">
        <v>99</v>
      </c>
      <c r="K21" s="118"/>
      <c r="L21" s="118"/>
      <c r="M21" s="118"/>
    </row>
    <row r="22" customFormat="false" ht="204.75" hidden="false" customHeight="true" outlineLevel="1" collapsed="false">
      <c r="A22" s="65" t="n">
        <v>15</v>
      </c>
      <c r="B22" s="66" t="s">
        <v>306</v>
      </c>
      <c r="C22" s="67" t="s">
        <v>307</v>
      </c>
      <c r="D22" s="66" t="s">
        <v>102</v>
      </c>
      <c r="E22" s="157" t="n">
        <v>25</v>
      </c>
      <c r="F22" s="157"/>
      <c r="G22" s="153"/>
      <c r="H22" s="153" t="n">
        <f aca="false">F22+G22</f>
        <v>0</v>
      </c>
      <c r="I22" s="153" t="n">
        <f aca="false">E22*H22</f>
        <v>0</v>
      </c>
      <c r="J22" s="71" t="s">
        <v>99</v>
      </c>
      <c r="K22" s="118"/>
      <c r="L22" s="118"/>
      <c r="M22" s="118"/>
    </row>
    <row r="23" customFormat="false" ht="204.75" hidden="false" customHeight="true" outlineLevel="1" collapsed="false">
      <c r="A23" s="65" t="n">
        <v>16</v>
      </c>
      <c r="B23" s="66" t="s">
        <v>306</v>
      </c>
      <c r="C23" s="67" t="s">
        <v>308</v>
      </c>
      <c r="D23" s="66" t="s">
        <v>102</v>
      </c>
      <c r="E23" s="157" t="n">
        <v>40</v>
      </c>
      <c r="F23" s="157"/>
      <c r="G23" s="153"/>
      <c r="H23" s="153" t="n">
        <f aca="false">F23+G23</f>
        <v>0</v>
      </c>
      <c r="I23" s="153" t="n">
        <f aca="false">E23*H23</f>
        <v>0</v>
      </c>
      <c r="J23" s="71" t="s">
        <v>99</v>
      </c>
      <c r="K23" s="118"/>
      <c r="L23" s="118"/>
      <c r="M23" s="118"/>
    </row>
    <row r="24" customFormat="false" ht="111" hidden="false" customHeight="true" outlineLevel="1" collapsed="false">
      <c r="A24" s="65" t="n">
        <v>17</v>
      </c>
      <c r="B24" s="66" t="s">
        <v>310</v>
      </c>
      <c r="C24" s="67" t="s">
        <v>311</v>
      </c>
      <c r="D24" s="66" t="s">
        <v>301</v>
      </c>
      <c r="E24" s="155" t="n">
        <v>8178.3</v>
      </c>
      <c r="F24" s="155"/>
      <c r="G24" s="153"/>
      <c r="H24" s="153" t="n">
        <f aca="false">F24+G24</f>
        <v>0</v>
      </c>
      <c r="I24" s="153" t="n">
        <f aca="false">E24*H24</f>
        <v>0</v>
      </c>
      <c r="J24" s="71" t="s">
        <v>471</v>
      </c>
      <c r="K24" s="118"/>
      <c r="L24" s="118"/>
      <c r="M24" s="118"/>
    </row>
    <row r="25" customFormat="false" ht="123" hidden="false" customHeight="true" outlineLevel="1" collapsed="false">
      <c r="A25" s="65" t="n">
        <v>18</v>
      </c>
      <c r="B25" s="66" t="s">
        <v>313</v>
      </c>
      <c r="C25" s="67" t="s">
        <v>314</v>
      </c>
      <c r="D25" s="86" t="s">
        <v>98</v>
      </c>
      <c r="E25" s="155" t="n">
        <v>5958.9</v>
      </c>
      <c r="F25" s="155"/>
      <c r="G25" s="153"/>
      <c r="H25" s="153" t="n">
        <f aca="false">F25+G25</f>
        <v>0</v>
      </c>
      <c r="I25" s="153" t="n">
        <f aca="false">E25*H25</f>
        <v>0</v>
      </c>
      <c r="J25" s="71" t="s">
        <v>99</v>
      </c>
      <c r="K25" s="118"/>
      <c r="L25" s="118"/>
      <c r="M25" s="118"/>
    </row>
    <row r="26" customFormat="false" ht="134.25" hidden="false" customHeight="true" outlineLevel="1" collapsed="false">
      <c r="A26" s="65" t="n">
        <v>19</v>
      </c>
      <c r="B26" s="66" t="s">
        <v>315</v>
      </c>
      <c r="C26" s="67" t="s">
        <v>316</v>
      </c>
      <c r="D26" s="66" t="s">
        <v>317</v>
      </c>
      <c r="E26" s="157" t="n">
        <v>7</v>
      </c>
      <c r="F26" s="157"/>
      <c r="G26" s="164"/>
      <c r="H26" s="153" t="n">
        <f aca="false">F26+G26</f>
        <v>0</v>
      </c>
      <c r="I26" s="153" t="n">
        <f aca="false">E26*H26</f>
        <v>0</v>
      </c>
      <c r="J26" s="71" t="s">
        <v>53</v>
      </c>
      <c r="K26" s="118"/>
      <c r="L26" s="118"/>
      <c r="M26" s="118"/>
    </row>
    <row r="27" customFormat="false" ht="134.25" hidden="false" customHeight="true" outlineLevel="1" collapsed="false">
      <c r="A27" s="65" t="n">
        <v>20</v>
      </c>
      <c r="B27" s="66" t="s">
        <v>315</v>
      </c>
      <c r="C27" s="67" t="s">
        <v>472</v>
      </c>
      <c r="D27" s="66" t="s">
        <v>317</v>
      </c>
      <c r="E27" s="157" t="n">
        <v>14</v>
      </c>
      <c r="F27" s="157"/>
      <c r="G27" s="164"/>
      <c r="H27" s="153" t="n">
        <f aca="false">F27+G27</f>
        <v>0</v>
      </c>
      <c r="I27" s="153" t="n">
        <f aca="false">E27*H27</f>
        <v>0</v>
      </c>
      <c r="J27" s="71" t="s">
        <v>53</v>
      </c>
      <c r="K27" s="118"/>
      <c r="L27" s="118"/>
      <c r="M27" s="118"/>
    </row>
    <row r="28" customFormat="false" ht="134.25" hidden="false" customHeight="true" outlineLevel="1" collapsed="false">
      <c r="A28" s="65" t="n">
        <v>21</v>
      </c>
      <c r="B28" s="66" t="s">
        <v>315</v>
      </c>
      <c r="C28" s="67" t="s">
        <v>473</v>
      </c>
      <c r="D28" s="66" t="s">
        <v>317</v>
      </c>
      <c r="E28" s="157" t="n">
        <v>3</v>
      </c>
      <c r="F28" s="157"/>
      <c r="G28" s="164"/>
      <c r="H28" s="153" t="n">
        <f aca="false">F28+G28</f>
        <v>0</v>
      </c>
      <c r="I28" s="153" t="n">
        <f aca="false">E28*H28</f>
        <v>0</v>
      </c>
      <c r="J28" s="71" t="s">
        <v>53</v>
      </c>
      <c r="K28" s="118"/>
      <c r="L28" s="118"/>
      <c r="M28" s="118"/>
    </row>
    <row r="29" customFormat="false" ht="134.25" hidden="false" customHeight="true" outlineLevel="1" collapsed="false">
      <c r="A29" s="65" t="n">
        <v>22</v>
      </c>
      <c r="B29" s="66" t="s">
        <v>315</v>
      </c>
      <c r="C29" s="67" t="s">
        <v>474</v>
      </c>
      <c r="D29" s="66" t="s">
        <v>317</v>
      </c>
      <c r="E29" s="157" t="n">
        <v>1</v>
      </c>
      <c r="F29" s="157"/>
      <c r="G29" s="164"/>
      <c r="H29" s="153" t="n">
        <f aca="false">F29+G29</f>
        <v>0</v>
      </c>
      <c r="I29" s="153" t="n">
        <f aca="false">E29*H29</f>
        <v>0</v>
      </c>
      <c r="J29" s="71" t="s">
        <v>53</v>
      </c>
      <c r="K29" s="118"/>
      <c r="L29" s="118"/>
      <c r="M29" s="118"/>
    </row>
    <row r="30" customFormat="false" ht="134.25" hidden="false" customHeight="true" outlineLevel="1" collapsed="false">
      <c r="A30" s="65" t="n">
        <v>23</v>
      </c>
      <c r="B30" s="66" t="s">
        <v>315</v>
      </c>
      <c r="C30" s="67" t="s">
        <v>321</v>
      </c>
      <c r="D30" s="66" t="s">
        <v>317</v>
      </c>
      <c r="E30" s="157" t="n">
        <v>7</v>
      </c>
      <c r="F30" s="157"/>
      <c r="G30" s="164"/>
      <c r="H30" s="153" t="n">
        <f aca="false">F30+G30</f>
        <v>0</v>
      </c>
      <c r="I30" s="153" t="n">
        <f aca="false">E30*H30</f>
        <v>0</v>
      </c>
      <c r="J30" s="71" t="s">
        <v>53</v>
      </c>
      <c r="K30" s="118"/>
      <c r="L30" s="118"/>
      <c r="M30" s="118"/>
    </row>
    <row r="31" customFormat="false" ht="134.25" hidden="false" customHeight="true" outlineLevel="1" collapsed="false">
      <c r="A31" s="65" t="n">
        <v>24</v>
      </c>
      <c r="B31" s="66" t="s">
        <v>315</v>
      </c>
      <c r="C31" s="67" t="s">
        <v>475</v>
      </c>
      <c r="D31" s="66" t="s">
        <v>317</v>
      </c>
      <c r="E31" s="157" t="n">
        <v>18</v>
      </c>
      <c r="F31" s="157"/>
      <c r="G31" s="164"/>
      <c r="H31" s="153" t="n">
        <f aca="false">F31+G31</f>
        <v>0</v>
      </c>
      <c r="I31" s="153" t="n">
        <f aca="false">E31*H31</f>
        <v>0</v>
      </c>
      <c r="J31" s="71" t="s">
        <v>53</v>
      </c>
      <c r="K31" s="118"/>
      <c r="L31" s="118"/>
      <c r="M31" s="118"/>
    </row>
    <row r="32" customFormat="false" ht="134.25" hidden="false" customHeight="true" outlineLevel="1" collapsed="false">
      <c r="A32" s="65" t="n">
        <v>25</v>
      </c>
      <c r="B32" s="66" t="s">
        <v>315</v>
      </c>
      <c r="C32" s="67" t="s">
        <v>326</v>
      </c>
      <c r="D32" s="66" t="s">
        <v>317</v>
      </c>
      <c r="E32" s="157" t="n">
        <v>7</v>
      </c>
      <c r="F32" s="157"/>
      <c r="G32" s="164"/>
      <c r="H32" s="153" t="n">
        <f aca="false">F32+G32</f>
        <v>0</v>
      </c>
      <c r="I32" s="153" t="n">
        <f aca="false">E32*H32</f>
        <v>0</v>
      </c>
      <c r="J32" s="71" t="s">
        <v>53</v>
      </c>
      <c r="K32" s="118"/>
      <c r="L32" s="118"/>
      <c r="M32" s="118"/>
    </row>
    <row r="33" customFormat="false" ht="134.25" hidden="false" customHeight="true" outlineLevel="1" collapsed="false">
      <c r="A33" s="65" t="n">
        <v>26</v>
      </c>
      <c r="B33" s="66" t="s">
        <v>315</v>
      </c>
      <c r="C33" s="67" t="s">
        <v>476</v>
      </c>
      <c r="D33" s="66" t="s">
        <v>317</v>
      </c>
      <c r="E33" s="157" t="n">
        <v>18</v>
      </c>
      <c r="F33" s="157"/>
      <c r="G33" s="164"/>
      <c r="H33" s="153" t="n">
        <f aca="false">F33+G33</f>
        <v>0</v>
      </c>
      <c r="I33" s="153" t="n">
        <f aca="false">E33*H33</f>
        <v>0</v>
      </c>
      <c r="J33" s="71" t="s">
        <v>53</v>
      </c>
      <c r="K33" s="118"/>
      <c r="L33" s="118"/>
      <c r="M33" s="118"/>
    </row>
    <row r="34" customFormat="false" ht="111" hidden="false" customHeight="true" outlineLevel="1" collapsed="false">
      <c r="A34" s="65" t="n">
        <v>27</v>
      </c>
      <c r="B34" s="66" t="s">
        <v>328</v>
      </c>
      <c r="C34" s="67" t="s">
        <v>329</v>
      </c>
      <c r="D34" s="66" t="s">
        <v>102</v>
      </c>
      <c r="E34" s="157" t="n">
        <v>25</v>
      </c>
      <c r="F34" s="157"/>
      <c r="G34" s="164"/>
      <c r="H34" s="153" t="n">
        <f aca="false">F34+G34</f>
        <v>0</v>
      </c>
      <c r="I34" s="153" t="n">
        <f aca="false">E34*H34</f>
        <v>0</v>
      </c>
      <c r="J34" s="71" t="s">
        <v>53</v>
      </c>
      <c r="K34" s="118"/>
      <c r="L34" s="118"/>
      <c r="M34" s="118"/>
    </row>
    <row r="35" customFormat="false" ht="111" hidden="false" customHeight="true" outlineLevel="1" collapsed="false">
      <c r="A35" s="65" t="n">
        <v>28</v>
      </c>
      <c r="B35" s="66" t="s">
        <v>328</v>
      </c>
      <c r="C35" s="67" t="s">
        <v>330</v>
      </c>
      <c r="D35" s="66" t="s">
        <v>102</v>
      </c>
      <c r="E35" s="157" t="n">
        <v>25</v>
      </c>
      <c r="F35" s="157"/>
      <c r="G35" s="164"/>
      <c r="H35" s="153" t="n">
        <f aca="false">F35+G35</f>
        <v>0</v>
      </c>
      <c r="I35" s="153" t="n">
        <f aca="false">E35*H35</f>
        <v>0</v>
      </c>
      <c r="J35" s="71" t="s">
        <v>53</v>
      </c>
      <c r="K35" s="118"/>
      <c r="L35" s="118"/>
      <c r="M35" s="118"/>
    </row>
    <row r="36" customFormat="false" ht="111" hidden="false" customHeight="true" outlineLevel="1" collapsed="false">
      <c r="A36" s="65" t="n">
        <v>29</v>
      </c>
      <c r="B36" s="66" t="s">
        <v>331</v>
      </c>
      <c r="C36" s="67" t="s">
        <v>332</v>
      </c>
      <c r="D36" s="66" t="s">
        <v>102</v>
      </c>
      <c r="E36" s="157" t="n">
        <v>25</v>
      </c>
      <c r="F36" s="157"/>
      <c r="G36" s="164"/>
      <c r="H36" s="153" t="n">
        <f aca="false">F36+G36</f>
        <v>0</v>
      </c>
      <c r="I36" s="153" t="n">
        <f aca="false">E36*H36</f>
        <v>0</v>
      </c>
      <c r="J36" s="71" t="s">
        <v>53</v>
      </c>
      <c r="K36" s="118"/>
      <c r="L36" s="118"/>
      <c r="M36" s="118"/>
    </row>
    <row r="37" customFormat="false" ht="111" hidden="false" customHeight="true" outlineLevel="1" collapsed="false">
      <c r="A37" s="65" t="n">
        <v>30</v>
      </c>
      <c r="B37" s="66" t="s">
        <v>477</v>
      </c>
      <c r="C37" s="67" t="s">
        <v>478</v>
      </c>
      <c r="D37" s="66" t="s">
        <v>102</v>
      </c>
      <c r="E37" s="157" t="n">
        <v>25</v>
      </c>
      <c r="F37" s="157"/>
      <c r="G37" s="164"/>
      <c r="H37" s="153" t="n">
        <f aca="false">F37+G37</f>
        <v>0</v>
      </c>
      <c r="I37" s="153" t="n">
        <f aca="false">E37*H37</f>
        <v>0</v>
      </c>
      <c r="J37" s="71" t="s">
        <v>53</v>
      </c>
      <c r="K37" s="118"/>
      <c r="L37" s="118"/>
      <c r="M37" s="118"/>
    </row>
    <row r="38" customFormat="false" ht="64.5" hidden="false" customHeight="true" outlineLevel="1" collapsed="false">
      <c r="A38" s="65" t="n">
        <v>31</v>
      </c>
      <c r="B38" s="66" t="s">
        <v>335</v>
      </c>
      <c r="C38" s="67" t="s">
        <v>336</v>
      </c>
      <c r="D38" s="86" t="s">
        <v>66</v>
      </c>
      <c r="E38" s="157" t="n">
        <v>2370</v>
      </c>
      <c r="F38" s="157"/>
      <c r="G38" s="164"/>
      <c r="H38" s="153" t="n">
        <f aca="false">F38+G38</f>
        <v>0</v>
      </c>
      <c r="I38" s="153" t="n">
        <f aca="false">E38*H38</f>
        <v>0</v>
      </c>
      <c r="J38" s="71" t="s">
        <v>53</v>
      </c>
      <c r="K38" s="118"/>
      <c r="L38" s="118"/>
      <c r="M38" s="118"/>
    </row>
    <row r="39" customFormat="false" ht="111" hidden="false" customHeight="true" outlineLevel="1" collapsed="false">
      <c r="A39" s="65" t="n">
        <v>32</v>
      </c>
      <c r="B39" s="66" t="s">
        <v>337</v>
      </c>
      <c r="C39" s="67" t="s">
        <v>338</v>
      </c>
      <c r="D39" s="66" t="s">
        <v>102</v>
      </c>
      <c r="E39" s="68" t="n">
        <v>120</v>
      </c>
      <c r="F39" s="68"/>
      <c r="G39" s="153"/>
      <c r="H39" s="153" t="n">
        <f aca="false">F39+G39</f>
        <v>0</v>
      </c>
      <c r="I39" s="153" t="n">
        <f aca="false">E39*H39</f>
        <v>0</v>
      </c>
      <c r="J39" s="71" t="s">
        <v>53</v>
      </c>
      <c r="K39" s="118"/>
      <c r="L39" s="118"/>
      <c r="M39" s="118"/>
    </row>
    <row r="40" customFormat="false" ht="111" hidden="false" customHeight="true" outlineLevel="1" collapsed="false">
      <c r="A40" s="65" t="n">
        <v>33</v>
      </c>
      <c r="B40" s="66" t="s">
        <v>337</v>
      </c>
      <c r="C40" s="67" t="s">
        <v>479</v>
      </c>
      <c r="D40" s="66" t="s">
        <v>102</v>
      </c>
      <c r="E40" s="68" t="n">
        <v>234</v>
      </c>
      <c r="F40" s="68"/>
      <c r="G40" s="153"/>
      <c r="H40" s="153" t="n">
        <f aca="false">F40+G40</f>
        <v>0</v>
      </c>
      <c r="I40" s="153" t="n">
        <f aca="false">E40*H40</f>
        <v>0</v>
      </c>
      <c r="J40" s="71" t="s">
        <v>53</v>
      </c>
      <c r="K40" s="118"/>
      <c r="L40" s="118"/>
      <c r="M40" s="118"/>
    </row>
    <row r="41" customFormat="false" ht="111" hidden="false" customHeight="true" outlineLevel="1" collapsed="false">
      <c r="A41" s="65" t="n">
        <v>34</v>
      </c>
      <c r="B41" s="66" t="s">
        <v>339</v>
      </c>
      <c r="C41" s="67" t="s">
        <v>480</v>
      </c>
      <c r="D41" s="66" t="s">
        <v>102</v>
      </c>
      <c r="E41" s="68" t="n">
        <v>100</v>
      </c>
      <c r="F41" s="68"/>
      <c r="G41" s="153"/>
      <c r="H41" s="153" t="n">
        <f aca="false">F41+G41</f>
        <v>0</v>
      </c>
      <c r="I41" s="153" t="n">
        <f aca="false">E41*H41</f>
        <v>0</v>
      </c>
      <c r="J41" s="71" t="s">
        <v>53</v>
      </c>
      <c r="K41" s="118"/>
      <c r="L41" s="118"/>
      <c r="M41" s="118"/>
    </row>
    <row r="42" customFormat="false" ht="111" hidden="false" customHeight="true" outlineLevel="1" collapsed="false">
      <c r="A42" s="65" t="n">
        <v>35</v>
      </c>
      <c r="B42" s="66" t="s">
        <v>339</v>
      </c>
      <c r="C42" s="67" t="s">
        <v>481</v>
      </c>
      <c r="D42" s="66" t="s">
        <v>102</v>
      </c>
      <c r="E42" s="68" t="n">
        <v>12</v>
      </c>
      <c r="F42" s="68"/>
      <c r="G42" s="153"/>
      <c r="H42" s="153" t="n">
        <f aca="false">F42+G42</f>
        <v>0</v>
      </c>
      <c r="I42" s="153" t="n">
        <f aca="false">E42*H42</f>
        <v>0</v>
      </c>
      <c r="J42" s="71" t="s">
        <v>53</v>
      </c>
      <c r="K42" s="118"/>
      <c r="L42" s="118"/>
      <c r="M42" s="118"/>
    </row>
    <row r="43" customFormat="false" ht="111" hidden="false" customHeight="true" outlineLevel="1" collapsed="false">
      <c r="A43" s="65" t="n">
        <v>36</v>
      </c>
      <c r="B43" s="66" t="s">
        <v>341</v>
      </c>
      <c r="C43" s="67" t="s">
        <v>342</v>
      </c>
      <c r="D43" s="66" t="s">
        <v>102</v>
      </c>
      <c r="E43" s="68" t="n">
        <v>7</v>
      </c>
      <c r="F43" s="68"/>
      <c r="G43" s="153"/>
      <c r="H43" s="153" t="n">
        <f aca="false">F43+G43</f>
        <v>0</v>
      </c>
      <c r="I43" s="153" t="n">
        <f aca="false">E43*H43</f>
        <v>0</v>
      </c>
      <c r="J43" s="71" t="s">
        <v>53</v>
      </c>
      <c r="K43" s="118"/>
      <c r="L43" s="118"/>
      <c r="M43" s="118"/>
    </row>
    <row r="44" customFormat="false" ht="111" hidden="false" customHeight="true" outlineLevel="1" collapsed="false">
      <c r="A44" s="65" t="n">
        <v>37</v>
      </c>
      <c r="B44" s="66" t="s">
        <v>341</v>
      </c>
      <c r="C44" s="67" t="s">
        <v>482</v>
      </c>
      <c r="D44" s="66" t="s">
        <v>102</v>
      </c>
      <c r="E44" s="68" t="n">
        <v>10</v>
      </c>
      <c r="F44" s="68"/>
      <c r="G44" s="153"/>
      <c r="H44" s="153" t="n">
        <f aca="false">F44+G44</f>
        <v>0</v>
      </c>
      <c r="I44" s="153" t="n">
        <f aca="false">E44*H44</f>
        <v>0</v>
      </c>
      <c r="J44" s="71" t="s">
        <v>53</v>
      </c>
      <c r="K44" s="118"/>
      <c r="L44" s="118"/>
      <c r="M44" s="118"/>
    </row>
    <row r="45" customFormat="false" ht="111" hidden="false" customHeight="true" outlineLevel="1" collapsed="false">
      <c r="A45" s="65" t="n">
        <v>38</v>
      </c>
      <c r="B45" s="88" t="s">
        <v>344</v>
      </c>
      <c r="C45" s="67" t="s">
        <v>483</v>
      </c>
      <c r="D45" s="66" t="s">
        <v>102</v>
      </c>
      <c r="E45" s="157" t="n">
        <v>1</v>
      </c>
      <c r="F45" s="157"/>
      <c r="G45" s="153"/>
      <c r="H45" s="153" t="n">
        <f aca="false">F45+G45</f>
        <v>0</v>
      </c>
      <c r="I45" s="153" t="n">
        <f aca="false">E45*H45</f>
        <v>0</v>
      </c>
      <c r="J45" s="71" t="s">
        <v>53</v>
      </c>
      <c r="K45" s="118"/>
      <c r="L45" s="118"/>
      <c r="M45" s="118"/>
    </row>
    <row r="46" customFormat="false" ht="111" hidden="false" customHeight="true" outlineLevel="1" collapsed="false">
      <c r="A46" s="65" t="n">
        <v>39</v>
      </c>
      <c r="B46" s="88" t="s">
        <v>344</v>
      </c>
      <c r="C46" s="67" t="s">
        <v>484</v>
      </c>
      <c r="D46" s="66" t="s">
        <v>102</v>
      </c>
      <c r="E46" s="157" t="n">
        <v>3</v>
      </c>
      <c r="F46" s="157"/>
      <c r="G46" s="153"/>
      <c r="H46" s="153" t="n">
        <f aca="false">F46+G46</f>
        <v>0</v>
      </c>
      <c r="I46" s="153" t="n">
        <f aca="false">E46*H46</f>
        <v>0</v>
      </c>
      <c r="J46" s="71" t="s">
        <v>53</v>
      </c>
      <c r="K46" s="118"/>
      <c r="L46" s="118"/>
      <c r="M46" s="118"/>
    </row>
    <row r="47" customFormat="false" ht="111" hidden="false" customHeight="true" outlineLevel="1" collapsed="false">
      <c r="A47" s="65" t="n">
        <v>40</v>
      </c>
      <c r="B47" s="66" t="s">
        <v>347</v>
      </c>
      <c r="C47" s="67" t="s">
        <v>485</v>
      </c>
      <c r="D47" s="66" t="s">
        <v>102</v>
      </c>
      <c r="E47" s="157" t="n">
        <v>4</v>
      </c>
      <c r="F47" s="157"/>
      <c r="G47" s="153"/>
      <c r="H47" s="153" t="n">
        <f aca="false">F47+G47</f>
        <v>0</v>
      </c>
      <c r="I47" s="153" t="n">
        <f aca="false">E47*H47</f>
        <v>0</v>
      </c>
      <c r="J47" s="71" t="s">
        <v>53</v>
      </c>
      <c r="K47" s="118"/>
      <c r="L47" s="118"/>
      <c r="M47" s="118"/>
    </row>
    <row r="48" customFormat="false" ht="111" hidden="false" customHeight="true" outlineLevel="1" collapsed="false">
      <c r="A48" s="65" t="n">
        <v>41</v>
      </c>
      <c r="B48" s="66" t="s">
        <v>347</v>
      </c>
      <c r="C48" s="67" t="s">
        <v>486</v>
      </c>
      <c r="D48" s="66" t="s">
        <v>102</v>
      </c>
      <c r="E48" s="157" t="n">
        <v>4</v>
      </c>
      <c r="F48" s="157"/>
      <c r="G48" s="153"/>
      <c r="H48" s="153" t="n">
        <f aca="false">F48+G48</f>
        <v>0</v>
      </c>
      <c r="I48" s="153" t="n">
        <f aca="false">E48*H48</f>
        <v>0</v>
      </c>
      <c r="J48" s="71" t="s">
        <v>53</v>
      </c>
      <c r="K48" s="118"/>
      <c r="L48" s="118"/>
      <c r="M48" s="118"/>
    </row>
    <row r="49" customFormat="false" ht="111" hidden="false" customHeight="true" outlineLevel="1" collapsed="false">
      <c r="A49" s="65" t="n">
        <v>42</v>
      </c>
      <c r="B49" s="66" t="s">
        <v>347</v>
      </c>
      <c r="C49" s="67" t="s">
        <v>487</v>
      </c>
      <c r="D49" s="66" t="s">
        <v>102</v>
      </c>
      <c r="E49" s="157" t="n">
        <v>4</v>
      </c>
      <c r="F49" s="157"/>
      <c r="G49" s="153"/>
      <c r="H49" s="153" t="n">
        <f aca="false">F49+G49</f>
        <v>0</v>
      </c>
      <c r="I49" s="153" t="n">
        <f aca="false">E49*H49</f>
        <v>0</v>
      </c>
      <c r="J49" s="71" t="s">
        <v>53</v>
      </c>
      <c r="K49" s="118"/>
      <c r="L49" s="118"/>
      <c r="M49" s="118"/>
    </row>
    <row r="50" customFormat="false" ht="111" hidden="false" customHeight="true" outlineLevel="1" collapsed="false">
      <c r="A50" s="65" t="n">
        <v>43</v>
      </c>
      <c r="B50" s="66" t="s">
        <v>347</v>
      </c>
      <c r="C50" s="67" t="s">
        <v>488</v>
      </c>
      <c r="D50" s="66" t="s">
        <v>102</v>
      </c>
      <c r="E50" s="157" t="n">
        <v>6</v>
      </c>
      <c r="F50" s="157"/>
      <c r="G50" s="153"/>
      <c r="H50" s="153" t="n">
        <f aca="false">F50+G50</f>
        <v>0</v>
      </c>
      <c r="I50" s="153" t="n">
        <f aca="false">E50*H50</f>
        <v>0</v>
      </c>
      <c r="J50" s="71" t="s">
        <v>53</v>
      </c>
      <c r="K50" s="118"/>
      <c r="L50" s="118"/>
      <c r="M50" s="118"/>
    </row>
    <row r="51" customFormat="false" ht="111" hidden="false" customHeight="true" outlineLevel="1" collapsed="false">
      <c r="A51" s="65" t="n">
        <v>44</v>
      </c>
      <c r="B51" s="66" t="s">
        <v>347</v>
      </c>
      <c r="C51" s="67" t="s">
        <v>489</v>
      </c>
      <c r="D51" s="66" t="s">
        <v>102</v>
      </c>
      <c r="E51" s="157" t="n">
        <v>12</v>
      </c>
      <c r="F51" s="157"/>
      <c r="G51" s="153"/>
      <c r="H51" s="153" t="n">
        <f aca="false">F51+G51</f>
        <v>0</v>
      </c>
      <c r="I51" s="153" t="n">
        <f aca="false">E51*H51</f>
        <v>0</v>
      </c>
      <c r="J51" s="71" t="s">
        <v>53</v>
      </c>
      <c r="K51" s="118"/>
      <c r="L51" s="118"/>
      <c r="M51" s="118"/>
    </row>
    <row r="52" customFormat="false" ht="111" hidden="false" customHeight="true" outlineLevel="1" collapsed="false">
      <c r="A52" s="65" t="n">
        <v>45</v>
      </c>
      <c r="B52" s="66" t="s">
        <v>347</v>
      </c>
      <c r="C52" s="67" t="s">
        <v>351</v>
      </c>
      <c r="D52" s="66" t="s">
        <v>102</v>
      </c>
      <c r="E52" s="157" t="n">
        <v>44</v>
      </c>
      <c r="F52" s="157"/>
      <c r="G52" s="153"/>
      <c r="H52" s="153" t="n">
        <f aca="false">F52+G52</f>
        <v>0</v>
      </c>
      <c r="I52" s="153" t="n">
        <f aca="false">E52*H52</f>
        <v>0</v>
      </c>
      <c r="J52" s="71" t="s">
        <v>53</v>
      </c>
      <c r="K52" s="118"/>
      <c r="L52" s="118"/>
      <c r="M52" s="118"/>
    </row>
    <row r="53" customFormat="false" ht="111" hidden="false" customHeight="true" outlineLevel="1" collapsed="false">
      <c r="A53" s="65" t="n">
        <v>46</v>
      </c>
      <c r="B53" s="66" t="s">
        <v>347</v>
      </c>
      <c r="C53" s="67" t="s">
        <v>490</v>
      </c>
      <c r="D53" s="66" t="s">
        <v>102</v>
      </c>
      <c r="E53" s="157" t="n">
        <v>6</v>
      </c>
      <c r="F53" s="157"/>
      <c r="G53" s="153"/>
      <c r="H53" s="153" t="n">
        <f aca="false">F53+G53</f>
        <v>0</v>
      </c>
      <c r="I53" s="153" t="n">
        <f aca="false">E53*H53</f>
        <v>0</v>
      </c>
      <c r="J53" s="71" t="s">
        <v>53</v>
      </c>
      <c r="K53" s="118"/>
      <c r="L53" s="118"/>
      <c r="M53" s="118"/>
    </row>
    <row r="54" customFormat="false" ht="111" hidden="false" customHeight="true" outlineLevel="1" collapsed="false">
      <c r="A54" s="65" t="n">
        <v>47</v>
      </c>
      <c r="B54" s="66" t="s">
        <v>347</v>
      </c>
      <c r="C54" s="67" t="s">
        <v>491</v>
      </c>
      <c r="D54" s="66" t="s">
        <v>102</v>
      </c>
      <c r="E54" s="157" t="n">
        <v>17</v>
      </c>
      <c r="F54" s="157"/>
      <c r="G54" s="153"/>
      <c r="H54" s="153" t="n">
        <f aca="false">F54+G54</f>
        <v>0</v>
      </c>
      <c r="I54" s="153" t="n">
        <f aca="false">E54*H54</f>
        <v>0</v>
      </c>
      <c r="J54" s="71" t="s">
        <v>53</v>
      </c>
      <c r="K54" s="118"/>
      <c r="L54" s="118"/>
      <c r="M54" s="118"/>
    </row>
    <row r="55" customFormat="false" ht="111" hidden="false" customHeight="true" outlineLevel="1" collapsed="false">
      <c r="A55" s="65" t="n">
        <v>48</v>
      </c>
      <c r="B55" s="66" t="s">
        <v>347</v>
      </c>
      <c r="C55" s="67" t="s">
        <v>352</v>
      </c>
      <c r="D55" s="66" t="s">
        <v>102</v>
      </c>
      <c r="E55" s="157" t="n">
        <v>120</v>
      </c>
      <c r="F55" s="157"/>
      <c r="G55" s="153"/>
      <c r="H55" s="153" t="n">
        <f aca="false">F55+G55</f>
        <v>0</v>
      </c>
      <c r="I55" s="153" t="n">
        <f aca="false">E55*H55</f>
        <v>0</v>
      </c>
      <c r="J55" s="71" t="s">
        <v>53</v>
      </c>
      <c r="K55" s="118"/>
      <c r="L55" s="118"/>
      <c r="M55" s="118"/>
    </row>
    <row r="56" customFormat="false" ht="111" hidden="false" customHeight="true" outlineLevel="1" collapsed="false">
      <c r="A56" s="65" t="n">
        <v>49</v>
      </c>
      <c r="B56" s="66" t="s">
        <v>347</v>
      </c>
      <c r="C56" s="67" t="s">
        <v>492</v>
      </c>
      <c r="D56" s="66" t="s">
        <v>102</v>
      </c>
      <c r="E56" s="157" t="n">
        <v>234</v>
      </c>
      <c r="F56" s="157"/>
      <c r="G56" s="153"/>
      <c r="H56" s="153" t="n">
        <f aca="false">F56+G56</f>
        <v>0</v>
      </c>
      <c r="I56" s="153" t="n">
        <f aca="false">E56*H56</f>
        <v>0</v>
      </c>
      <c r="J56" s="71" t="s">
        <v>53</v>
      </c>
      <c r="K56" s="118"/>
      <c r="L56" s="118"/>
      <c r="M56" s="118"/>
    </row>
    <row r="57" customFormat="false" ht="87.75" hidden="false" customHeight="true" outlineLevel="1" collapsed="false">
      <c r="A57" s="65" t="n">
        <v>50</v>
      </c>
      <c r="B57" s="66" t="s">
        <v>354</v>
      </c>
      <c r="C57" s="67" t="s">
        <v>355</v>
      </c>
      <c r="D57" s="66" t="s">
        <v>301</v>
      </c>
      <c r="E57" s="155" t="n">
        <v>100.9</v>
      </c>
      <c r="F57" s="155"/>
      <c r="G57" s="164"/>
      <c r="H57" s="153" t="n">
        <f aca="false">F57+G57</f>
        <v>0</v>
      </c>
      <c r="I57" s="153" t="n">
        <f aca="false">E57*H57</f>
        <v>0</v>
      </c>
      <c r="J57" s="71" t="s">
        <v>53</v>
      </c>
      <c r="K57" s="118"/>
      <c r="L57" s="118"/>
      <c r="M57" s="118"/>
    </row>
    <row r="58" customFormat="false" ht="40.5" hidden="false" customHeight="true" outlineLevel="1" collapsed="false">
      <c r="A58" s="65" t="n">
        <v>51</v>
      </c>
      <c r="B58" s="66" t="s">
        <v>356</v>
      </c>
      <c r="C58" s="102" t="s">
        <v>357</v>
      </c>
      <c r="D58" s="66" t="s">
        <v>170</v>
      </c>
      <c r="E58" s="68" t="n">
        <v>1</v>
      </c>
      <c r="F58" s="68"/>
      <c r="G58" s="153"/>
      <c r="H58" s="153" t="n">
        <f aca="false">F58+G58</f>
        <v>0</v>
      </c>
      <c r="I58" s="153" t="n">
        <f aca="false">E58*H58</f>
        <v>0</v>
      </c>
      <c r="J58" s="83"/>
      <c r="K58" s="118"/>
      <c r="L58" s="118"/>
      <c r="M58" s="118"/>
    </row>
    <row r="59" s="39" customFormat="true" ht="29.25" hidden="false" customHeight="true" outlineLevel="0" collapsed="false">
      <c r="A59" s="65"/>
      <c r="B59" s="79" t="s">
        <v>57</v>
      </c>
      <c r="C59" s="102"/>
      <c r="D59" s="86"/>
      <c r="E59" s="80"/>
      <c r="F59" s="80"/>
      <c r="G59" s="81"/>
      <c r="H59" s="81"/>
      <c r="I59" s="81" t="n">
        <f aca="false">SUM(I17:I58)</f>
        <v>0</v>
      </c>
      <c r="J59" s="83"/>
      <c r="K59" s="118"/>
      <c r="L59" s="118"/>
      <c r="M59" s="118"/>
    </row>
    <row r="60" s="39" customFormat="true" ht="29.25" hidden="false" customHeight="true" outlineLevel="0" collapsed="false">
      <c r="A60" s="84" t="s">
        <v>171</v>
      </c>
      <c r="B60" s="79" t="s">
        <v>59</v>
      </c>
      <c r="C60" s="152"/>
      <c r="D60" s="79"/>
      <c r="E60" s="80"/>
      <c r="F60" s="80"/>
      <c r="G60" s="81"/>
      <c r="H60" s="81"/>
      <c r="I60" s="81"/>
      <c r="J60" s="158"/>
      <c r="K60" s="118"/>
      <c r="L60" s="118"/>
      <c r="M60" s="118"/>
    </row>
    <row r="61" customFormat="false" ht="263.25" hidden="false" customHeight="true" outlineLevel="1" collapsed="false">
      <c r="A61" s="65" t="n">
        <v>52</v>
      </c>
      <c r="B61" s="66" t="s">
        <v>68</v>
      </c>
      <c r="C61" s="67" t="s">
        <v>360</v>
      </c>
      <c r="D61" s="86" t="s">
        <v>66</v>
      </c>
      <c r="E61" s="155" t="n">
        <v>228</v>
      </c>
      <c r="F61" s="155"/>
      <c r="G61" s="164"/>
      <c r="H61" s="153" t="n">
        <f aca="false">F61+G61</f>
        <v>0</v>
      </c>
      <c r="I61" s="153" t="n">
        <f aca="false">E61*H61</f>
        <v>0</v>
      </c>
      <c r="J61" s="71" t="s">
        <v>493</v>
      </c>
      <c r="K61" s="118"/>
      <c r="L61" s="118"/>
      <c r="M61" s="118"/>
    </row>
    <row r="62" customFormat="false" ht="263.25" hidden="false" customHeight="true" outlineLevel="1" collapsed="false">
      <c r="A62" s="65" t="n">
        <v>53</v>
      </c>
      <c r="B62" s="66" t="s">
        <v>68</v>
      </c>
      <c r="C62" s="67" t="s">
        <v>361</v>
      </c>
      <c r="D62" s="86" t="s">
        <v>66</v>
      </c>
      <c r="E62" s="155" t="n">
        <v>24</v>
      </c>
      <c r="F62" s="155"/>
      <c r="G62" s="164"/>
      <c r="H62" s="153" t="n">
        <f aca="false">F62+G62</f>
        <v>0</v>
      </c>
      <c r="I62" s="153" t="n">
        <f aca="false">E62*H62</f>
        <v>0</v>
      </c>
      <c r="J62" s="71" t="s">
        <v>493</v>
      </c>
      <c r="K62" s="118"/>
      <c r="L62" s="118"/>
      <c r="M62" s="118"/>
    </row>
    <row r="63" customFormat="false" ht="263.25" hidden="false" customHeight="true" outlineLevel="1" collapsed="false">
      <c r="A63" s="65" t="n">
        <v>54</v>
      </c>
      <c r="B63" s="66" t="s">
        <v>68</v>
      </c>
      <c r="C63" s="67" t="s">
        <v>362</v>
      </c>
      <c r="D63" s="86" t="s">
        <v>66</v>
      </c>
      <c r="E63" s="155" t="n">
        <v>702</v>
      </c>
      <c r="F63" s="155"/>
      <c r="G63" s="164"/>
      <c r="H63" s="153" t="n">
        <f aca="false">F63+G63</f>
        <v>0</v>
      </c>
      <c r="I63" s="153" t="n">
        <f aca="false">E63*H63</f>
        <v>0</v>
      </c>
      <c r="J63" s="71" t="s">
        <v>493</v>
      </c>
      <c r="K63" s="118"/>
      <c r="L63" s="118"/>
      <c r="M63" s="118"/>
    </row>
    <row r="64" customFormat="false" ht="263.25" hidden="false" customHeight="true" outlineLevel="1" collapsed="false">
      <c r="A64" s="65" t="n">
        <v>55</v>
      </c>
      <c r="B64" s="66" t="s">
        <v>68</v>
      </c>
      <c r="C64" s="67" t="s">
        <v>363</v>
      </c>
      <c r="D64" s="86" t="s">
        <v>66</v>
      </c>
      <c r="E64" s="155" t="n">
        <v>168</v>
      </c>
      <c r="F64" s="155"/>
      <c r="G64" s="164"/>
      <c r="H64" s="153" t="n">
        <f aca="false">F64+G64</f>
        <v>0</v>
      </c>
      <c r="I64" s="153" t="n">
        <f aca="false">E64*H64</f>
        <v>0</v>
      </c>
      <c r="J64" s="71" t="s">
        <v>493</v>
      </c>
      <c r="K64" s="118"/>
      <c r="L64" s="118"/>
      <c r="M64" s="118"/>
    </row>
    <row r="65" customFormat="false" ht="263.25" hidden="false" customHeight="true" outlineLevel="1" collapsed="false">
      <c r="A65" s="65" t="n">
        <v>56</v>
      </c>
      <c r="B65" s="66" t="s">
        <v>68</v>
      </c>
      <c r="C65" s="67" t="s">
        <v>364</v>
      </c>
      <c r="D65" s="86" t="s">
        <v>66</v>
      </c>
      <c r="E65" s="155" t="n">
        <v>90</v>
      </c>
      <c r="F65" s="155"/>
      <c r="G65" s="164"/>
      <c r="H65" s="153" t="n">
        <f aca="false">F65+G65</f>
        <v>0</v>
      </c>
      <c r="I65" s="153" t="n">
        <f aca="false">E65*H65</f>
        <v>0</v>
      </c>
      <c r="J65" s="71" t="s">
        <v>493</v>
      </c>
      <c r="K65" s="118"/>
      <c r="L65" s="118"/>
      <c r="M65" s="118"/>
    </row>
    <row r="66" customFormat="false" ht="263.25" hidden="false" customHeight="true" outlineLevel="1" collapsed="false">
      <c r="A66" s="65" t="n">
        <v>57</v>
      </c>
      <c r="B66" s="66" t="s">
        <v>68</v>
      </c>
      <c r="C66" s="67" t="s">
        <v>365</v>
      </c>
      <c r="D66" s="86" t="s">
        <v>66</v>
      </c>
      <c r="E66" s="155" t="n">
        <v>90</v>
      </c>
      <c r="F66" s="155"/>
      <c r="G66" s="164"/>
      <c r="H66" s="153" t="n">
        <f aca="false">F66+G66</f>
        <v>0</v>
      </c>
      <c r="I66" s="153" t="n">
        <f aca="false">E66*H66</f>
        <v>0</v>
      </c>
      <c r="J66" s="71" t="s">
        <v>493</v>
      </c>
      <c r="K66" s="118"/>
      <c r="L66" s="118"/>
      <c r="M66" s="118"/>
    </row>
    <row r="67" customFormat="false" ht="263.25" hidden="false" customHeight="true" outlineLevel="1" collapsed="false">
      <c r="A67" s="65" t="n">
        <v>58</v>
      </c>
      <c r="B67" s="66" t="s">
        <v>68</v>
      </c>
      <c r="C67" s="67" t="s">
        <v>366</v>
      </c>
      <c r="D67" s="86" t="s">
        <v>66</v>
      </c>
      <c r="E67" s="155" t="n">
        <v>198</v>
      </c>
      <c r="F67" s="155"/>
      <c r="G67" s="164"/>
      <c r="H67" s="153" t="n">
        <f aca="false">F67+G67</f>
        <v>0</v>
      </c>
      <c r="I67" s="153" t="n">
        <f aca="false">E67*H67</f>
        <v>0</v>
      </c>
      <c r="J67" s="71" t="s">
        <v>493</v>
      </c>
      <c r="K67" s="118"/>
      <c r="L67" s="118"/>
      <c r="M67" s="118"/>
    </row>
    <row r="68" customFormat="false" ht="263.25" hidden="false" customHeight="true" outlineLevel="1" collapsed="false">
      <c r="A68" s="65" t="n">
        <v>59</v>
      </c>
      <c r="B68" s="66" t="s">
        <v>68</v>
      </c>
      <c r="C68" s="67" t="s">
        <v>367</v>
      </c>
      <c r="D68" s="86" t="s">
        <v>66</v>
      </c>
      <c r="E68" s="155" t="n">
        <v>138</v>
      </c>
      <c r="F68" s="155"/>
      <c r="G68" s="164"/>
      <c r="H68" s="153" t="n">
        <f aca="false">F68+G68</f>
        <v>0</v>
      </c>
      <c r="I68" s="153" t="n">
        <f aca="false">E68*H68</f>
        <v>0</v>
      </c>
      <c r="J68" s="71" t="s">
        <v>493</v>
      </c>
      <c r="K68" s="118"/>
      <c r="L68" s="118"/>
      <c r="M68" s="118"/>
    </row>
    <row r="69" customFormat="false" ht="157.5" hidden="false" customHeight="true" outlineLevel="1" collapsed="false">
      <c r="A69" s="65" t="n">
        <v>60</v>
      </c>
      <c r="B69" s="66" t="s">
        <v>373</v>
      </c>
      <c r="C69" s="67" t="s">
        <v>376</v>
      </c>
      <c r="D69" s="86" t="s">
        <v>66</v>
      </c>
      <c r="E69" s="155" t="n">
        <v>72</v>
      </c>
      <c r="F69" s="155"/>
      <c r="G69" s="164"/>
      <c r="H69" s="153" t="n">
        <f aca="false">F69+G69</f>
        <v>0</v>
      </c>
      <c r="I69" s="153" t="n">
        <f aca="false">E69*H69</f>
        <v>0</v>
      </c>
      <c r="J69" s="72" t="s">
        <v>494</v>
      </c>
      <c r="K69" s="118"/>
      <c r="L69" s="118"/>
      <c r="M69" s="118"/>
    </row>
    <row r="70" customFormat="false" ht="157.5" hidden="false" customHeight="true" outlineLevel="1" collapsed="false">
      <c r="A70" s="65" t="n">
        <v>61</v>
      </c>
      <c r="B70" s="66" t="s">
        <v>373</v>
      </c>
      <c r="C70" s="67" t="s">
        <v>377</v>
      </c>
      <c r="D70" s="86" t="s">
        <v>66</v>
      </c>
      <c r="E70" s="155" t="n">
        <v>164</v>
      </c>
      <c r="F70" s="155"/>
      <c r="G70" s="164"/>
      <c r="H70" s="153" t="n">
        <f aca="false">F70+G70</f>
        <v>0</v>
      </c>
      <c r="I70" s="153" t="n">
        <f aca="false">E70*H70</f>
        <v>0</v>
      </c>
      <c r="J70" s="72" t="s">
        <v>494</v>
      </c>
      <c r="K70" s="118"/>
      <c r="L70" s="118"/>
      <c r="M70" s="118"/>
    </row>
    <row r="71" customFormat="false" ht="157.5" hidden="false" customHeight="true" outlineLevel="1" collapsed="false">
      <c r="A71" s="65" t="n">
        <v>62</v>
      </c>
      <c r="B71" s="66" t="s">
        <v>373</v>
      </c>
      <c r="C71" s="67" t="s">
        <v>379</v>
      </c>
      <c r="D71" s="86" t="s">
        <v>66</v>
      </c>
      <c r="E71" s="155" t="n">
        <v>124</v>
      </c>
      <c r="F71" s="155"/>
      <c r="G71" s="164"/>
      <c r="H71" s="153" t="n">
        <f aca="false">F71+G71</f>
        <v>0</v>
      </c>
      <c r="I71" s="153" t="n">
        <f aca="false">E71*H71</f>
        <v>0</v>
      </c>
      <c r="J71" s="72" t="s">
        <v>494</v>
      </c>
      <c r="K71" s="118"/>
      <c r="L71" s="118"/>
      <c r="M71" s="118"/>
    </row>
    <row r="72" customFormat="false" ht="157.5" hidden="false" customHeight="true" outlineLevel="1" collapsed="false">
      <c r="A72" s="65" t="n">
        <v>63</v>
      </c>
      <c r="B72" s="66" t="s">
        <v>380</v>
      </c>
      <c r="C72" s="67" t="s">
        <v>383</v>
      </c>
      <c r="D72" s="86" t="s">
        <v>66</v>
      </c>
      <c r="E72" s="155" t="n">
        <v>56</v>
      </c>
      <c r="F72" s="155"/>
      <c r="G72" s="153"/>
      <c r="H72" s="153" t="n">
        <f aca="false">F72+G72</f>
        <v>0</v>
      </c>
      <c r="I72" s="153" t="n">
        <f aca="false">E72*H72</f>
        <v>0</v>
      </c>
      <c r="J72" s="72" t="s">
        <v>494</v>
      </c>
      <c r="K72" s="118"/>
      <c r="L72" s="118"/>
      <c r="M72" s="118"/>
    </row>
    <row r="73" customFormat="false" ht="157.5" hidden="false" customHeight="true" outlineLevel="1" collapsed="false">
      <c r="A73" s="65" t="n">
        <v>64</v>
      </c>
      <c r="B73" s="66" t="s">
        <v>380</v>
      </c>
      <c r="C73" s="67" t="s">
        <v>384</v>
      </c>
      <c r="D73" s="86" t="s">
        <v>66</v>
      </c>
      <c r="E73" s="155" t="n">
        <v>212</v>
      </c>
      <c r="F73" s="155"/>
      <c r="G73" s="153"/>
      <c r="H73" s="153" t="n">
        <f aca="false">F73+G73</f>
        <v>0</v>
      </c>
      <c r="I73" s="153" t="n">
        <f aca="false">E73*H73</f>
        <v>0</v>
      </c>
      <c r="J73" s="72" t="s">
        <v>494</v>
      </c>
      <c r="K73" s="118"/>
      <c r="L73" s="118"/>
      <c r="M73" s="118"/>
    </row>
    <row r="74" customFormat="false" ht="157.5" hidden="false" customHeight="true" outlineLevel="1" collapsed="false">
      <c r="A74" s="65" t="n">
        <v>65</v>
      </c>
      <c r="B74" s="66" t="s">
        <v>380</v>
      </c>
      <c r="C74" s="67" t="s">
        <v>385</v>
      </c>
      <c r="D74" s="86" t="s">
        <v>66</v>
      </c>
      <c r="E74" s="155" t="n">
        <v>68</v>
      </c>
      <c r="F74" s="155"/>
      <c r="G74" s="153"/>
      <c r="H74" s="153" t="n">
        <f aca="false">F74+G74</f>
        <v>0</v>
      </c>
      <c r="I74" s="153" t="n">
        <f aca="false">E74*H74</f>
        <v>0</v>
      </c>
      <c r="J74" s="72" t="s">
        <v>494</v>
      </c>
      <c r="K74" s="118"/>
      <c r="L74" s="118"/>
      <c r="M74" s="118"/>
    </row>
    <row r="75" customFormat="false" ht="123" hidden="false" customHeight="true" outlineLevel="1" collapsed="false">
      <c r="A75" s="65" t="n">
        <v>66</v>
      </c>
      <c r="B75" s="66" t="s">
        <v>96</v>
      </c>
      <c r="C75" s="67" t="s">
        <v>97</v>
      </c>
      <c r="D75" s="86" t="s">
        <v>98</v>
      </c>
      <c r="E75" s="87" t="n">
        <v>10485.8</v>
      </c>
      <c r="F75" s="87"/>
      <c r="G75" s="153"/>
      <c r="H75" s="153" t="n">
        <f aca="false">F75+G75</f>
        <v>0</v>
      </c>
      <c r="I75" s="153" t="n">
        <f aca="false">E75*H75</f>
        <v>0</v>
      </c>
      <c r="J75" s="71" t="s">
        <v>99</v>
      </c>
      <c r="K75" s="118"/>
      <c r="L75" s="118"/>
      <c r="M75" s="118"/>
    </row>
    <row r="76" s="39" customFormat="true" ht="111" hidden="false" customHeight="true" outlineLevel="1" collapsed="false">
      <c r="A76" s="65" t="n">
        <v>67</v>
      </c>
      <c r="B76" s="66" t="s">
        <v>388</v>
      </c>
      <c r="C76" s="67" t="s">
        <v>389</v>
      </c>
      <c r="D76" s="66" t="s">
        <v>102</v>
      </c>
      <c r="E76" s="68" t="n">
        <v>4</v>
      </c>
      <c r="F76" s="68"/>
      <c r="G76" s="153"/>
      <c r="H76" s="153" t="n">
        <f aca="false">F76+G76</f>
        <v>0</v>
      </c>
      <c r="I76" s="153" t="n">
        <f aca="false">E76*H76</f>
        <v>0</v>
      </c>
      <c r="J76" s="71" t="s">
        <v>103</v>
      </c>
      <c r="K76" s="118"/>
      <c r="L76" s="118"/>
      <c r="M76" s="118"/>
    </row>
    <row r="77" s="39" customFormat="true" ht="111" hidden="false" customHeight="true" outlineLevel="1" collapsed="false">
      <c r="A77" s="65" t="n">
        <v>68</v>
      </c>
      <c r="B77" s="66" t="s">
        <v>388</v>
      </c>
      <c r="C77" s="67" t="s">
        <v>495</v>
      </c>
      <c r="D77" s="66" t="s">
        <v>102</v>
      </c>
      <c r="E77" s="68" t="n">
        <v>16</v>
      </c>
      <c r="F77" s="68"/>
      <c r="G77" s="153"/>
      <c r="H77" s="153" t="n">
        <f aca="false">F77+G77</f>
        <v>0</v>
      </c>
      <c r="I77" s="153" t="n">
        <f aca="false">E77*H77</f>
        <v>0</v>
      </c>
      <c r="J77" s="71" t="s">
        <v>103</v>
      </c>
      <c r="K77" s="118"/>
      <c r="L77" s="118"/>
      <c r="M77" s="118"/>
    </row>
    <row r="78" s="39" customFormat="true" ht="111" hidden="false" customHeight="true" outlineLevel="1" collapsed="false">
      <c r="A78" s="65" t="n">
        <v>69</v>
      </c>
      <c r="B78" s="66" t="s">
        <v>388</v>
      </c>
      <c r="C78" s="67" t="s">
        <v>496</v>
      </c>
      <c r="D78" s="66" t="s">
        <v>102</v>
      </c>
      <c r="E78" s="68" t="n">
        <v>25</v>
      </c>
      <c r="F78" s="68"/>
      <c r="G78" s="153"/>
      <c r="H78" s="153" t="n">
        <f aca="false">F78+G78</f>
        <v>0</v>
      </c>
      <c r="I78" s="153" t="n">
        <f aca="false">E78*H78</f>
        <v>0</v>
      </c>
      <c r="J78" s="71" t="s">
        <v>103</v>
      </c>
      <c r="K78" s="118"/>
      <c r="L78" s="118"/>
      <c r="M78" s="118"/>
    </row>
    <row r="79" s="39" customFormat="true" ht="111" hidden="false" customHeight="true" outlineLevel="1" collapsed="false">
      <c r="A79" s="65" t="n">
        <v>70</v>
      </c>
      <c r="B79" s="66" t="s">
        <v>117</v>
      </c>
      <c r="C79" s="67" t="s">
        <v>497</v>
      </c>
      <c r="D79" s="66" t="s">
        <v>102</v>
      </c>
      <c r="E79" s="68" t="n">
        <v>2</v>
      </c>
      <c r="F79" s="68"/>
      <c r="G79" s="153"/>
      <c r="H79" s="153" t="n">
        <f aca="false">F79+G79</f>
        <v>0</v>
      </c>
      <c r="I79" s="153" t="n">
        <f aca="false">E79*H79</f>
        <v>0</v>
      </c>
      <c r="J79" s="71" t="s">
        <v>113</v>
      </c>
      <c r="K79" s="118"/>
      <c r="L79" s="118"/>
      <c r="M79" s="118"/>
    </row>
    <row r="80" s="39" customFormat="true" ht="111" hidden="false" customHeight="true" outlineLevel="1" collapsed="false">
      <c r="A80" s="65" t="n">
        <v>71</v>
      </c>
      <c r="B80" s="66" t="s">
        <v>117</v>
      </c>
      <c r="C80" s="67" t="s">
        <v>123</v>
      </c>
      <c r="D80" s="66" t="s">
        <v>102</v>
      </c>
      <c r="E80" s="68" t="n">
        <v>6</v>
      </c>
      <c r="F80" s="68"/>
      <c r="G80" s="153"/>
      <c r="H80" s="153" t="n">
        <f aca="false">F80+G80</f>
        <v>0</v>
      </c>
      <c r="I80" s="153" t="n">
        <f aca="false">E80*H80</f>
        <v>0</v>
      </c>
      <c r="J80" s="71" t="s">
        <v>113</v>
      </c>
      <c r="K80" s="118"/>
      <c r="L80" s="118"/>
      <c r="M80" s="118"/>
    </row>
    <row r="81" s="39" customFormat="true" ht="111" hidden="false" customHeight="true" outlineLevel="1" collapsed="false">
      <c r="A81" s="65" t="n">
        <v>72</v>
      </c>
      <c r="B81" s="66" t="s">
        <v>117</v>
      </c>
      <c r="C81" s="67" t="s">
        <v>126</v>
      </c>
      <c r="D81" s="66" t="s">
        <v>102</v>
      </c>
      <c r="E81" s="68" t="n">
        <v>8</v>
      </c>
      <c r="F81" s="68"/>
      <c r="G81" s="153"/>
      <c r="H81" s="153" t="n">
        <f aca="false">F81+G81</f>
        <v>0</v>
      </c>
      <c r="I81" s="153" t="n">
        <f aca="false">E81*H81</f>
        <v>0</v>
      </c>
      <c r="J81" s="71" t="s">
        <v>113</v>
      </c>
      <c r="K81" s="118"/>
      <c r="L81" s="118"/>
      <c r="M81" s="118"/>
    </row>
    <row r="82" s="39" customFormat="true" ht="111" hidden="false" customHeight="true" outlineLevel="1" collapsed="false">
      <c r="A82" s="65" t="n">
        <v>73</v>
      </c>
      <c r="B82" s="66" t="s">
        <v>117</v>
      </c>
      <c r="C82" s="67" t="s">
        <v>498</v>
      </c>
      <c r="D82" s="66" t="s">
        <v>102</v>
      </c>
      <c r="E82" s="68" t="n">
        <v>32</v>
      </c>
      <c r="F82" s="68"/>
      <c r="G82" s="153"/>
      <c r="H82" s="153" t="n">
        <f aca="false">F82+G82</f>
        <v>0</v>
      </c>
      <c r="I82" s="153" t="n">
        <f aca="false">E82*H82</f>
        <v>0</v>
      </c>
      <c r="J82" s="71" t="s">
        <v>113</v>
      </c>
      <c r="K82" s="118"/>
      <c r="L82" s="118"/>
      <c r="M82" s="118"/>
    </row>
    <row r="83" s="39" customFormat="true" ht="111" hidden="false" customHeight="true" outlineLevel="1" collapsed="false">
      <c r="A83" s="65" t="n">
        <v>74</v>
      </c>
      <c r="B83" s="66" t="s">
        <v>117</v>
      </c>
      <c r="C83" s="67" t="s">
        <v>392</v>
      </c>
      <c r="D83" s="66" t="s">
        <v>102</v>
      </c>
      <c r="E83" s="68" t="n">
        <v>50</v>
      </c>
      <c r="F83" s="68"/>
      <c r="G83" s="153"/>
      <c r="H83" s="153" t="n">
        <f aca="false">F83+G83</f>
        <v>0</v>
      </c>
      <c r="I83" s="153" t="n">
        <f aca="false">E83*H83</f>
        <v>0</v>
      </c>
      <c r="J83" s="71" t="s">
        <v>113</v>
      </c>
      <c r="K83" s="118"/>
      <c r="L83" s="118"/>
      <c r="M83" s="118"/>
    </row>
    <row r="84" s="39" customFormat="true" ht="111" hidden="false" customHeight="true" outlineLevel="1" collapsed="false">
      <c r="A84" s="65" t="n">
        <v>75</v>
      </c>
      <c r="B84" s="88" t="s">
        <v>393</v>
      </c>
      <c r="C84" s="67" t="s">
        <v>394</v>
      </c>
      <c r="D84" s="66" t="s">
        <v>102</v>
      </c>
      <c r="E84" s="68" t="n">
        <v>4</v>
      </c>
      <c r="F84" s="68"/>
      <c r="G84" s="153"/>
      <c r="H84" s="153" t="n">
        <f aca="false">F84+G84</f>
        <v>0</v>
      </c>
      <c r="I84" s="153" t="n">
        <f aca="false">E84*H84</f>
        <v>0</v>
      </c>
      <c r="J84" s="71" t="s">
        <v>113</v>
      </c>
      <c r="K84" s="118"/>
      <c r="L84" s="118"/>
      <c r="M84" s="118"/>
    </row>
    <row r="85" s="39" customFormat="true" ht="111" hidden="false" customHeight="true" outlineLevel="1" collapsed="false">
      <c r="A85" s="65" t="n">
        <v>76</v>
      </c>
      <c r="B85" s="88" t="s">
        <v>393</v>
      </c>
      <c r="C85" s="67" t="s">
        <v>499</v>
      </c>
      <c r="D85" s="66" t="s">
        <v>102</v>
      </c>
      <c r="E85" s="68" t="n">
        <v>16</v>
      </c>
      <c r="F85" s="68"/>
      <c r="G85" s="153"/>
      <c r="H85" s="153" t="n">
        <f aca="false">F85+G85</f>
        <v>0</v>
      </c>
      <c r="I85" s="153" t="n">
        <f aca="false">E85*H85</f>
        <v>0</v>
      </c>
      <c r="J85" s="71" t="s">
        <v>113</v>
      </c>
      <c r="K85" s="118"/>
      <c r="L85" s="118"/>
      <c r="M85" s="118"/>
    </row>
    <row r="86" s="39" customFormat="true" ht="111" hidden="false" customHeight="true" outlineLevel="1" collapsed="false">
      <c r="A86" s="65" t="n">
        <v>77</v>
      </c>
      <c r="B86" s="88" t="s">
        <v>393</v>
      </c>
      <c r="C86" s="67" t="s">
        <v>395</v>
      </c>
      <c r="D86" s="66" t="s">
        <v>102</v>
      </c>
      <c r="E86" s="68" t="n">
        <v>25</v>
      </c>
      <c r="F86" s="68"/>
      <c r="G86" s="153"/>
      <c r="H86" s="153" t="n">
        <f aca="false">F86+G86</f>
        <v>0</v>
      </c>
      <c r="I86" s="153" t="n">
        <f aca="false">E86*H86</f>
        <v>0</v>
      </c>
      <c r="J86" s="71" t="s">
        <v>113</v>
      </c>
      <c r="K86" s="118"/>
      <c r="L86" s="118"/>
      <c r="M86" s="118"/>
    </row>
    <row r="87" s="39" customFormat="true" ht="111" hidden="false" customHeight="true" outlineLevel="1" collapsed="false">
      <c r="A87" s="65" t="n">
        <v>78</v>
      </c>
      <c r="B87" s="66" t="s">
        <v>143</v>
      </c>
      <c r="C87" s="67" t="s">
        <v>500</v>
      </c>
      <c r="D87" s="66" t="s">
        <v>102</v>
      </c>
      <c r="E87" s="68" t="n">
        <v>32</v>
      </c>
      <c r="F87" s="68"/>
      <c r="G87" s="153"/>
      <c r="H87" s="153" t="n">
        <f aca="false">F87+G87</f>
        <v>0</v>
      </c>
      <c r="I87" s="153" t="n">
        <f aca="false">E87*H87</f>
        <v>0</v>
      </c>
      <c r="J87" s="71" t="s">
        <v>113</v>
      </c>
      <c r="K87" s="118"/>
      <c r="L87" s="118"/>
      <c r="M87" s="118"/>
    </row>
    <row r="88" s="39" customFormat="true" ht="111" hidden="false" customHeight="true" outlineLevel="1" collapsed="false">
      <c r="A88" s="65" t="n">
        <v>79</v>
      </c>
      <c r="B88" s="66" t="s">
        <v>143</v>
      </c>
      <c r="C88" s="67" t="s">
        <v>398</v>
      </c>
      <c r="D88" s="66" t="s">
        <v>102</v>
      </c>
      <c r="E88" s="68" t="n">
        <v>66</v>
      </c>
      <c r="F88" s="68"/>
      <c r="G88" s="153"/>
      <c r="H88" s="153" t="n">
        <f aca="false">F88+G88</f>
        <v>0</v>
      </c>
      <c r="I88" s="153" t="n">
        <f aca="false">E88*H88</f>
        <v>0</v>
      </c>
      <c r="J88" s="71" t="s">
        <v>113</v>
      </c>
      <c r="K88" s="118"/>
      <c r="L88" s="118"/>
      <c r="M88" s="118"/>
    </row>
    <row r="89" s="39" customFormat="true" ht="87.75" hidden="false" customHeight="true" outlineLevel="1" collapsed="false">
      <c r="A89" s="65" t="n">
        <v>80</v>
      </c>
      <c r="B89" s="66" t="s">
        <v>153</v>
      </c>
      <c r="C89" s="67" t="s">
        <v>154</v>
      </c>
      <c r="D89" s="66" t="s">
        <v>155</v>
      </c>
      <c r="E89" s="68" t="n">
        <v>90</v>
      </c>
      <c r="F89" s="68"/>
      <c r="G89" s="153"/>
      <c r="H89" s="153" t="n">
        <f aca="false">F89+G89</f>
        <v>0</v>
      </c>
      <c r="I89" s="153" t="n">
        <f aca="false">E89*H89</f>
        <v>0</v>
      </c>
      <c r="J89" s="71" t="s">
        <v>402</v>
      </c>
      <c r="K89" s="118"/>
      <c r="L89" s="118"/>
      <c r="M89" s="118"/>
    </row>
    <row r="90" s="39" customFormat="true" ht="99" hidden="false" customHeight="true" outlineLevel="1" collapsed="false">
      <c r="A90" s="65" t="n">
        <v>81</v>
      </c>
      <c r="B90" s="66" t="s">
        <v>157</v>
      </c>
      <c r="C90" s="67" t="s">
        <v>160</v>
      </c>
      <c r="D90" s="66" t="s">
        <v>159</v>
      </c>
      <c r="E90" s="68" t="n">
        <v>90</v>
      </c>
      <c r="F90" s="68"/>
      <c r="G90" s="153"/>
      <c r="H90" s="153" t="n">
        <f aca="false">F90+G90</f>
        <v>0</v>
      </c>
      <c r="I90" s="153" t="n">
        <f aca="false">E90*H90</f>
        <v>0</v>
      </c>
      <c r="J90" s="71" t="s">
        <v>402</v>
      </c>
      <c r="K90" s="118"/>
      <c r="L90" s="118"/>
      <c r="M90" s="118"/>
    </row>
    <row r="91" customFormat="false" ht="111" hidden="false" customHeight="true" outlineLevel="1" collapsed="false">
      <c r="A91" s="65" t="n">
        <v>82</v>
      </c>
      <c r="B91" s="66" t="s">
        <v>403</v>
      </c>
      <c r="C91" s="67" t="s">
        <v>404</v>
      </c>
      <c r="D91" s="66" t="s">
        <v>102</v>
      </c>
      <c r="E91" s="68" t="n">
        <v>90</v>
      </c>
      <c r="F91" s="68"/>
      <c r="G91" s="153"/>
      <c r="H91" s="153" t="n">
        <f aca="false">F91+G91</f>
        <v>0</v>
      </c>
      <c r="I91" s="153" t="n">
        <f aca="false">E91*H91</f>
        <v>0</v>
      </c>
      <c r="J91" s="71" t="s">
        <v>129</v>
      </c>
      <c r="K91" s="118"/>
      <c r="L91" s="118"/>
      <c r="M91" s="118"/>
    </row>
    <row r="92" customFormat="false" ht="111" hidden="false" customHeight="true" outlineLevel="1" collapsed="false">
      <c r="A92" s="65" t="n">
        <v>83</v>
      </c>
      <c r="B92" s="66" t="s">
        <v>405</v>
      </c>
      <c r="C92" s="67" t="s">
        <v>406</v>
      </c>
      <c r="D92" s="66" t="s">
        <v>102</v>
      </c>
      <c r="E92" s="68" t="n">
        <v>8</v>
      </c>
      <c r="F92" s="68"/>
      <c r="G92" s="153"/>
      <c r="H92" s="153" t="n">
        <f aca="false">F92+G92</f>
        <v>0</v>
      </c>
      <c r="I92" s="153" t="n">
        <f aca="false">E92*H92</f>
        <v>0</v>
      </c>
      <c r="J92" s="71" t="s">
        <v>129</v>
      </c>
      <c r="K92" s="118"/>
      <c r="L92" s="118"/>
      <c r="M92" s="118"/>
    </row>
    <row r="93" customFormat="false" ht="99" hidden="false" customHeight="true" outlineLevel="1" collapsed="false">
      <c r="A93" s="65" t="n">
        <v>84</v>
      </c>
      <c r="B93" s="98" t="s">
        <v>164</v>
      </c>
      <c r="C93" s="99" t="s">
        <v>165</v>
      </c>
      <c r="D93" s="66" t="s">
        <v>163</v>
      </c>
      <c r="E93" s="68" t="n">
        <v>1</v>
      </c>
      <c r="F93" s="68"/>
      <c r="G93" s="153"/>
      <c r="H93" s="153" t="n">
        <f aca="false">F93+G93</f>
        <v>0</v>
      </c>
      <c r="I93" s="153" t="n">
        <f aca="false">E93*H93</f>
        <v>0</v>
      </c>
      <c r="J93" s="83"/>
      <c r="K93" s="118"/>
      <c r="L93" s="118"/>
      <c r="M93" s="118"/>
    </row>
    <row r="94" customFormat="false" ht="40.5" hidden="false" customHeight="true" outlineLevel="1" collapsed="false">
      <c r="A94" s="65" t="n">
        <v>85</v>
      </c>
      <c r="B94" s="98" t="s">
        <v>168</v>
      </c>
      <c r="C94" s="100" t="s">
        <v>169</v>
      </c>
      <c r="D94" s="66" t="s">
        <v>170</v>
      </c>
      <c r="E94" s="68" t="n">
        <v>1</v>
      </c>
      <c r="F94" s="68"/>
      <c r="G94" s="153"/>
      <c r="H94" s="153" t="n">
        <f aca="false">F94+G94</f>
        <v>0</v>
      </c>
      <c r="I94" s="153" t="n">
        <f aca="false">E94*H94</f>
        <v>0</v>
      </c>
      <c r="J94" s="83"/>
      <c r="K94" s="118"/>
      <c r="L94" s="118"/>
      <c r="M94" s="118"/>
    </row>
    <row r="95" s="39" customFormat="true" ht="29.25" hidden="false" customHeight="true" outlineLevel="0" collapsed="false">
      <c r="A95" s="65"/>
      <c r="B95" s="79" t="s">
        <v>57</v>
      </c>
      <c r="C95" s="102"/>
      <c r="D95" s="86"/>
      <c r="E95" s="80"/>
      <c r="F95" s="80"/>
      <c r="G95" s="81"/>
      <c r="H95" s="81"/>
      <c r="I95" s="81" t="n">
        <f aca="false">SUM(I61:I94)</f>
        <v>0</v>
      </c>
      <c r="J95" s="165"/>
      <c r="K95" s="118"/>
      <c r="L95" s="118"/>
      <c r="M95" s="118"/>
    </row>
    <row r="96" customFormat="false" ht="29.25" hidden="false" customHeight="true" outlineLevel="0" collapsed="false">
      <c r="A96" s="84" t="s">
        <v>216</v>
      </c>
      <c r="B96" s="79" t="s">
        <v>172</v>
      </c>
      <c r="C96" s="102"/>
      <c r="D96" s="86"/>
      <c r="E96" s="80"/>
      <c r="F96" s="80"/>
      <c r="G96" s="81"/>
      <c r="H96" s="81"/>
      <c r="I96" s="81"/>
      <c r="J96" s="166"/>
      <c r="K96" s="118"/>
      <c r="L96" s="118"/>
      <c r="M96" s="118"/>
    </row>
    <row r="97" customFormat="false" ht="157.5" hidden="false" customHeight="true" outlineLevel="1" collapsed="false">
      <c r="A97" s="65" t="n">
        <v>86</v>
      </c>
      <c r="B97" s="88" t="s">
        <v>501</v>
      </c>
      <c r="C97" s="159" t="s">
        <v>502</v>
      </c>
      <c r="D97" s="66" t="s">
        <v>32</v>
      </c>
      <c r="E97" s="68" t="n">
        <v>1</v>
      </c>
      <c r="F97" s="68"/>
      <c r="G97" s="153"/>
      <c r="H97" s="153" t="n">
        <f aca="false">F97+G97</f>
        <v>0</v>
      </c>
      <c r="I97" s="153" t="n">
        <f aca="false">E97*H97</f>
        <v>0</v>
      </c>
      <c r="J97" s="71" t="s">
        <v>178</v>
      </c>
      <c r="K97" s="118"/>
      <c r="L97" s="118"/>
      <c r="M97" s="118"/>
    </row>
    <row r="98" customFormat="false" ht="157.5" hidden="false" customHeight="true" outlineLevel="1" collapsed="false">
      <c r="A98" s="65" t="n">
        <v>87</v>
      </c>
      <c r="B98" s="88" t="s">
        <v>503</v>
      </c>
      <c r="C98" s="159" t="s">
        <v>504</v>
      </c>
      <c r="D98" s="66" t="s">
        <v>32</v>
      </c>
      <c r="E98" s="68" t="n">
        <v>1</v>
      </c>
      <c r="F98" s="68"/>
      <c r="G98" s="153"/>
      <c r="H98" s="153" t="n">
        <f aca="false">F98+G98</f>
        <v>0</v>
      </c>
      <c r="I98" s="153" t="n">
        <f aca="false">E98*H98</f>
        <v>0</v>
      </c>
      <c r="J98" s="71" t="s">
        <v>178</v>
      </c>
      <c r="K98" s="118"/>
      <c r="L98" s="118"/>
      <c r="M98" s="118"/>
    </row>
    <row r="99" customFormat="false" ht="157.5" hidden="false" customHeight="true" outlineLevel="1" collapsed="false">
      <c r="A99" s="65" t="n">
        <v>88</v>
      </c>
      <c r="B99" s="88" t="s">
        <v>505</v>
      </c>
      <c r="C99" s="159" t="s">
        <v>506</v>
      </c>
      <c r="D99" s="66" t="s">
        <v>32</v>
      </c>
      <c r="E99" s="68" t="n">
        <v>2</v>
      </c>
      <c r="F99" s="68"/>
      <c r="G99" s="153"/>
      <c r="H99" s="153" t="n">
        <f aca="false">F99+G99</f>
        <v>0</v>
      </c>
      <c r="I99" s="153" t="n">
        <f aca="false">E99*H99</f>
        <v>0</v>
      </c>
      <c r="J99" s="71" t="s">
        <v>178</v>
      </c>
      <c r="K99" s="118"/>
      <c r="L99" s="118"/>
      <c r="M99" s="118"/>
    </row>
    <row r="100" customFormat="false" ht="157.5" hidden="false" customHeight="true" outlineLevel="1" collapsed="false">
      <c r="A100" s="65" t="n">
        <v>89</v>
      </c>
      <c r="B100" s="88" t="s">
        <v>507</v>
      </c>
      <c r="C100" s="159" t="s">
        <v>508</v>
      </c>
      <c r="D100" s="66" t="s">
        <v>32</v>
      </c>
      <c r="E100" s="68" t="n">
        <v>2</v>
      </c>
      <c r="F100" s="68"/>
      <c r="G100" s="153"/>
      <c r="H100" s="153" t="n">
        <f aca="false">F100+G100</f>
        <v>0</v>
      </c>
      <c r="I100" s="153" t="n">
        <f aca="false">E100*H100</f>
        <v>0</v>
      </c>
      <c r="J100" s="71" t="s">
        <v>191</v>
      </c>
      <c r="K100" s="118"/>
      <c r="L100" s="118"/>
      <c r="M100" s="118"/>
    </row>
    <row r="101" customFormat="false" ht="157.5" hidden="false" customHeight="true" outlineLevel="1" collapsed="false">
      <c r="A101" s="65" t="n">
        <v>90</v>
      </c>
      <c r="B101" s="88" t="s">
        <v>509</v>
      </c>
      <c r="C101" s="159" t="s">
        <v>510</v>
      </c>
      <c r="D101" s="66" t="s">
        <v>32</v>
      </c>
      <c r="E101" s="68" t="n">
        <v>3</v>
      </c>
      <c r="F101" s="68"/>
      <c r="G101" s="153"/>
      <c r="H101" s="153" t="n">
        <f aca="false">F101+G101</f>
        <v>0</v>
      </c>
      <c r="I101" s="153" t="n">
        <f aca="false">E101*H101</f>
        <v>0</v>
      </c>
      <c r="J101" s="71" t="s">
        <v>191</v>
      </c>
      <c r="K101" s="118"/>
      <c r="L101" s="118"/>
      <c r="M101" s="118"/>
    </row>
    <row r="102" customFormat="false" ht="157.5" hidden="false" customHeight="true" outlineLevel="1" collapsed="false">
      <c r="A102" s="65" t="n">
        <v>91</v>
      </c>
      <c r="B102" s="88" t="s">
        <v>511</v>
      </c>
      <c r="C102" s="159" t="s">
        <v>512</v>
      </c>
      <c r="D102" s="66" t="s">
        <v>32</v>
      </c>
      <c r="E102" s="68" t="n">
        <v>1</v>
      </c>
      <c r="F102" s="68"/>
      <c r="G102" s="153"/>
      <c r="H102" s="153" t="n">
        <f aca="false">F102+G102</f>
        <v>0</v>
      </c>
      <c r="I102" s="153" t="n">
        <f aca="false">E102*H102</f>
        <v>0</v>
      </c>
      <c r="J102" s="71" t="s">
        <v>191</v>
      </c>
      <c r="K102" s="118"/>
      <c r="L102" s="118"/>
      <c r="M102" s="118"/>
    </row>
    <row r="103" customFormat="false" ht="75.75" hidden="false" customHeight="true" outlineLevel="1" collapsed="false">
      <c r="A103" s="65" t="n">
        <v>92</v>
      </c>
      <c r="B103" s="66" t="s">
        <v>192</v>
      </c>
      <c r="C103" s="159" t="s">
        <v>196</v>
      </c>
      <c r="D103" s="86" t="s">
        <v>66</v>
      </c>
      <c r="E103" s="87" t="n">
        <v>203</v>
      </c>
      <c r="F103" s="87"/>
      <c r="G103" s="153"/>
      <c r="H103" s="153" t="n">
        <f aca="false">F103+G103</f>
        <v>0</v>
      </c>
      <c r="I103" s="153" t="n">
        <f aca="false">E103*H103</f>
        <v>0</v>
      </c>
      <c r="J103" s="71" t="s">
        <v>194</v>
      </c>
      <c r="K103" s="118"/>
      <c r="L103" s="118"/>
      <c r="M103" s="118"/>
    </row>
    <row r="104" customFormat="false" ht="75.75" hidden="false" customHeight="true" outlineLevel="1" collapsed="false">
      <c r="A104" s="65" t="n">
        <v>93</v>
      </c>
      <c r="B104" s="66" t="s">
        <v>192</v>
      </c>
      <c r="C104" s="159" t="s">
        <v>513</v>
      </c>
      <c r="D104" s="86" t="s">
        <v>66</v>
      </c>
      <c r="E104" s="87" t="n">
        <v>138</v>
      </c>
      <c r="F104" s="87"/>
      <c r="G104" s="153"/>
      <c r="H104" s="153" t="n">
        <f aca="false">F104+G104</f>
        <v>0</v>
      </c>
      <c r="I104" s="153" t="n">
        <f aca="false">E104*H104</f>
        <v>0</v>
      </c>
      <c r="J104" s="71" t="s">
        <v>194</v>
      </c>
      <c r="K104" s="118"/>
      <c r="L104" s="118"/>
      <c r="M104" s="118"/>
    </row>
    <row r="105" customFormat="false" ht="75.75" hidden="false" customHeight="true" outlineLevel="1" collapsed="false">
      <c r="A105" s="65" t="n">
        <v>94</v>
      </c>
      <c r="B105" s="66" t="s">
        <v>192</v>
      </c>
      <c r="C105" s="159" t="s">
        <v>514</v>
      </c>
      <c r="D105" s="86" t="s">
        <v>66</v>
      </c>
      <c r="E105" s="87" t="n">
        <v>442</v>
      </c>
      <c r="F105" s="87"/>
      <c r="G105" s="153"/>
      <c r="H105" s="153" t="n">
        <f aca="false">F105+G105</f>
        <v>0</v>
      </c>
      <c r="I105" s="153" t="n">
        <f aca="false">E105*H105</f>
        <v>0</v>
      </c>
      <c r="J105" s="71" t="s">
        <v>194</v>
      </c>
      <c r="K105" s="118"/>
      <c r="L105" s="118"/>
      <c r="M105" s="118"/>
    </row>
    <row r="106" customFormat="false" ht="75.75" hidden="false" customHeight="true" outlineLevel="1" collapsed="false">
      <c r="A106" s="65" t="n">
        <v>95</v>
      </c>
      <c r="B106" s="66" t="s">
        <v>192</v>
      </c>
      <c r="C106" s="159" t="s">
        <v>198</v>
      </c>
      <c r="D106" s="86" t="s">
        <v>66</v>
      </c>
      <c r="E106" s="87" t="n">
        <v>1478</v>
      </c>
      <c r="F106" s="87"/>
      <c r="G106" s="153"/>
      <c r="H106" s="153" t="n">
        <f aca="false">F106+G106</f>
        <v>0</v>
      </c>
      <c r="I106" s="153" t="n">
        <f aca="false">E106*H106</f>
        <v>0</v>
      </c>
      <c r="J106" s="71" t="s">
        <v>194</v>
      </c>
      <c r="K106" s="118"/>
      <c r="L106" s="118"/>
      <c r="M106" s="118"/>
    </row>
    <row r="107" customFormat="false" ht="75.75" hidden="false" customHeight="true" outlineLevel="1" collapsed="false">
      <c r="A107" s="65" t="n">
        <v>96</v>
      </c>
      <c r="B107" s="66" t="s">
        <v>192</v>
      </c>
      <c r="C107" s="159" t="s">
        <v>199</v>
      </c>
      <c r="D107" s="86" t="s">
        <v>66</v>
      </c>
      <c r="E107" s="87" t="n">
        <v>24</v>
      </c>
      <c r="F107" s="87"/>
      <c r="G107" s="153"/>
      <c r="H107" s="153" t="n">
        <f aca="false">F107+G107</f>
        <v>0</v>
      </c>
      <c r="I107" s="153" t="n">
        <f aca="false">E107*H107</f>
        <v>0</v>
      </c>
      <c r="J107" s="71" t="s">
        <v>194</v>
      </c>
      <c r="K107" s="118"/>
      <c r="L107" s="118"/>
      <c r="M107" s="118"/>
    </row>
    <row r="108" customFormat="false" ht="99" hidden="false" customHeight="true" outlineLevel="1" collapsed="false">
      <c r="A108" s="65" t="n">
        <v>97</v>
      </c>
      <c r="B108" s="66" t="s">
        <v>202</v>
      </c>
      <c r="C108" s="159" t="s">
        <v>206</v>
      </c>
      <c r="D108" s="86" t="s">
        <v>66</v>
      </c>
      <c r="E108" s="87" t="n">
        <v>436</v>
      </c>
      <c r="F108" s="87"/>
      <c r="G108" s="153"/>
      <c r="H108" s="153" t="n">
        <f aca="false">F108+G108</f>
        <v>0</v>
      </c>
      <c r="I108" s="153" t="n">
        <f aca="false">E108*H108</f>
        <v>0</v>
      </c>
      <c r="J108" s="71" t="s">
        <v>53</v>
      </c>
      <c r="K108" s="118"/>
      <c r="L108" s="118"/>
      <c r="M108" s="118"/>
    </row>
    <row r="109" customFormat="false" ht="99" hidden="false" customHeight="true" outlineLevel="1" collapsed="false">
      <c r="A109" s="65" t="n">
        <v>98</v>
      </c>
      <c r="B109" s="88" t="s">
        <v>208</v>
      </c>
      <c r="C109" s="159" t="s">
        <v>209</v>
      </c>
      <c r="D109" s="86" t="s">
        <v>66</v>
      </c>
      <c r="E109" s="87" t="n">
        <v>120</v>
      </c>
      <c r="F109" s="87"/>
      <c r="G109" s="153"/>
      <c r="H109" s="153" t="n">
        <f aca="false">F109+G109</f>
        <v>0</v>
      </c>
      <c r="I109" s="153" t="n">
        <f aca="false">E109*H109</f>
        <v>0</v>
      </c>
      <c r="J109" s="71" t="s">
        <v>86</v>
      </c>
      <c r="K109" s="118"/>
      <c r="L109" s="118"/>
      <c r="M109" s="118"/>
    </row>
    <row r="110" customFormat="false" ht="99" hidden="false" customHeight="true" outlineLevel="1" collapsed="false">
      <c r="A110" s="65" t="n">
        <v>99</v>
      </c>
      <c r="B110" s="88" t="s">
        <v>208</v>
      </c>
      <c r="C110" s="159" t="s">
        <v>210</v>
      </c>
      <c r="D110" s="86" t="s">
        <v>66</v>
      </c>
      <c r="E110" s="87" t="n">
        <v>192</v>
      </c>
      <c r="F110" s="87"/>
      <c r="G110" s="153"/>
      <c r="H110" s="153" t="n">
        <f aca="false">F110+G110</f>
        <v>0</v>
      </c>
      <c r="I110" s="153" t="n">
        <f aca="false">E110*H110</f>
        <v>0</v>
      </c>
      <c r="J110" s="71" t="s">
        <v>86</v>
      </c>
      <c r="K110" s="118"/>
      <c r="L110" s="118"/>
      <c r="M110" s="118"/>
    </row>
    <row r="111" customFormat="false" ht="52.5" hidden="false" customHeight="true" outlineLevel="1" collapsed="false">
      <c r="A111" s="65" t="n">
        <v>100</v>
      </c>
      <c r="B111" s="66" t="s">
        <v>432</v>
      </c>
      <c r="C111" s="159" t="s">
        <v>458</v>
      </c>
      <c r="D111" s="86" t="s">
        <v>98</v>
      </c>
      <c r="E111" s="87" t="n">
        <v>296.9</v>
      </c>
      <c r="F111" s="87"/>
      <c r="G111" s="153"/>
      <c r="H111" s="153" t="n">
        <f aca="false">F111+G111</f>
        <v>0</v>
      </c>
      <c r="I111" s="153" t="n">
        <f aca="false">E111*H111</f>
        <v>0</v>
      </c>
      <c r="J111" s="71" t="s">
        <v>99</v>
      </c>
      <c r="K111" s="118"/>
      <c r="L111" s="118"/>
      <c r="M111" s="118"/>
    </row>
    <row r="112" customFormat="false" ht="52.5" hidden="false" customHeight="true" outlineLevel="1" collapsed="false">
      <c r="A112" s="65" t="n">
        <v>101</v>
      </c>
      <c r="B112" s="66" t="s">
        <v>211</v>
      </c>
      <c r="C112" s="159" t="s">
        <v>459</v>
      </c>
      <c r="D112" s="86" t="s">
        <v>98</v>
      </c>
      <c r="E112" s="87" t="n">
        <v>1219.6</v>
      </c>
      <c r="F112" s="87"/>
      <c r="G112" s="153"/>
      <c r="H112" s="153" t="n">
        <f aca="false">F112+G112</f>
        <v>0</v>
      </c>
      <c r="I112" s="153" t="n">
        <f aca="false">E112*H112</f>
        <v>0</v>
      </c>
      <c r="J112" s="71" t="s">
        <v>99</v>
      </c>
      <c r="K112" s="118"/>
      <c r="L112" s="118"/>
      <c r="M112" s="118"/>
    </row>
    <row r="113" customFormat="false" ht="40.5" hidden="false" customHeight="true" outlineLevel="1" collapsed="false">
      <c r="A113" s="65" t="n">
        <v>102</v>
      </c>
      <c r="B113" s="66" t="s">
        <v>213</v>
      </c>
      <c r="C113" s="160" t="s">
        <v>214</v>
      </c>
      <c r="D113" s="66" t="s">
        <v>163</v>
      </c>
      <c r="E113" s="68" t="n">
        <v>1</v>
      </c>
      <c r="F113" s="68"/>
      <c r="G113" s="153"/>
      <c r="H113" s="153" t="n">
        <f aca="false">F113+G113</f>
        <v>0</v>
      </c>
      <c r="I113" s="153" t="n">
        <f aca="false">E113*H113</f>
        <v>0</v>
      </c>
      <c r="J113" s="71" t="s">
        <v>99</v>
      </c>
      <c r="K113" s="118"/>
      <c r="L113" s="118"/>
      <c r="M113" s="118"/>
    </row>
    <row r="114" s="39" customFormat="true" ht="29.25" hidden="false" customHeight="true" outlineLevel="0" collapsed="false">
      <c r="A114" s="65"/>
      <c r="B114" s="79" t="s">
        <v>57</v>
      </c>
      <c r="C114" s="102"/>
      <c r="D114" s="86"/>
      <c r="E114" s="80"/>
      <c r="F114" s="80"/>
      <c r="G114" s="81"/>
      <c r="H114" s="81"/>
      <c r="I114" s="81" t="n">
        <f aca="false">SUM(I97:I113)</f>
        <v>0</v>
      </c>
      <c r="J114" s="83"/>
      <c r="K114" s="118"/>
      <c r="L114" s="118"/>
      <c r="M114" s="118"/>
    </row>
    <row r="115" s="39" customFormat="true" ht="40.5" hidden="false" customHeight="true" outlineLevel="0" collapsed="false">
      <c r="A115" s="84" t="s">
        <v>434</v>
      </c>
      <c r="B115" s="79" t="s">
        <v>435</v>
      </c>
      <c r="C115" s="102"/>
      <c r="D115" s="86"/>
      <c r="E115" s="80"/>
      <c r="F115" s="80"/>
      <c r="G115" s="81"/>
      <c r="H115" s="81"/>
      <c r="I115" s="81"/>
      <c r="J115" s="83"/>
      <c r="K115" s="118"/>
      <c r="L115" s="118"/>
      <c r="M115" s="118"/>
    </row>
    <row r="116" s="39" customFormat="true" ht="157.5" hidden="false" customHeight="true" outlineLevel="1" collapsed="false">
      <c r="A116" s="65" t="n">
        <v>103</v>
      </c>
      <c r="B116" s="88" t="s">
        <v>515</v>
      </c>
      <c r="C116" s="159" t="s">
        <v>437</v>
      </c>
      <c r="D116" s="66" t="s">
        <v>32</v>
      </c>
      <c r="E116" s="68" t="n">
        <v>1</v>
      </c>
      <c r="F116" s="68"/>
      <c r="G116" s="153"/>
      <c r="H116" s="153" t="n">
        <f aca="false">F116+G116</f>
        <v>0</v>
      </c>
      <c r="I116" s="153" t="n">
        <f aca="false">E116*H116</f>
        <v>0</v>
      </c>
      <c r="J116" s="72" t="s">
        <v>229</v>
      </c>
      <c r="K116" s="118"/>
      <c r="L116" s="118"/>
      <c r="M116" s="118"/>
    </row>
    <row r="117" s="39" customFormat="true" ht="157.5" hidden="false" customHeight="true" outlineLevel="1" collapsed="false">
      <c r="A117" s="65" t="n">
        <v>104</v>
      </c>
      <c r="B117" s="88" t="s">
        <v>516</v>
      </c>
      <c r="C117" s="159" t="s">
        <v>439</v>
      </c>
      <c r="D117" s="66" t="s">
        <v>32</v>
      </c>
      <c r="E117" s="68" t="n">
        <v>1</v>
      </c>
      <c r="F117" s="68"/>
      <c r="G117" s="153"/>
      <c r="H117" s="153" t="n">
        <f aca="false">F117+G117</f>
        <v>0</v>
      </c>
      <c r="I117" s="153" t="n">
        <f aca="false">E117*H117</f>
        <v>0</v>
      </c>
      <c r="J117" s="72" t="s">
        <v>229</v>
      </c>
      <c r="K117" s="118"/>
      <c r="L117" s="118"/>
      <c r="M117" s="118"/>
    </row>
    <row r="118" s="39" customFormat="true" ht="157.5" hidden="false" customHeight="true" outlineLevel="1" collapsed="false">
      <c r="A118" s="65" t="n">
        <v>105</v>
      </c>
      <c r="B118" s="88" t="s">
        <v>517</v>
      </c>
      <c r="C118" s="159" t="s">
        <v>441</v>
      </c>
      <c r="D118" s="66" t="s">
        <v>32</v>
      </c>
      <c r="E118" s="68" t="n">
        <v>1</v>
      </c>
      <c r="F118" s="68"/>
      <c r="G118" s="153"/>
      <c r="H118" s="153" t="n">
        <f aca="false">F118+G118</f>
        <v>0</v>
      </c>
      <c r="I118" s="153" t="n">
        <f aca="false">E118*H118</f>
        <v>0</v>
      </c>
      <c r="J118" s="72" t="s">
        <v>229</v>
      </c>
      <c r="K118" s="118"/>
      <c r="L118" s="118"/>
      <c r="M118" s="118"/>
    </row>
    <row r="119" s="39" customFormat="true" ht="157.5" hidden="false" customHeight="true" outlineLevel="1" collapsed="false">
      <c r="A119" s="65" t="n">
        <v>106</v>
      </c>
      <c r="B119" s="88" t="s">
        <v>518</v>
      </c>
      <c r="C119" s="159" t="s">
        <v>443</v>
      </c>
      <c r="D119" s="66" t="s">
        <v>32</v>
      </c>
      <c r="E119" s="68" t="n">
        <v>1</v>
      </c>
      <c r="F119" s="68"/>
      <c r="G119" s="153"/>
      <c r="H119" s="153" t="n">
        <f aca="false">F119+G119</f>
        <v>0</v>
      </c>
      <c r="I119" s="153" t="n">
        <f aca="false">E119*H119</f>
        <v>0</v>
      </c>
      <c r="J119" s="72" t="s">
        <v>229</v>
      </c>
      <c r="K119" s="118"/>
      <c r="L119" s="118"/>
      <c r="M119" s="118"/>
    </row>
    <row r="120" s="39" customFormat="true" ht="52.5" hidden="false" customHeight="true" outlineLevel="1" collapsed="false">
      <c r="A120" s="65" t="n">
        <v>107</v>
      </c>
      <c r="B120" s="66" t="s">
        <v>235</v>
      </c>
      <c r="C120" s="160" t="s">
        <v>236</v>
      </c>
      <c r="D120" s="66" t="s">
        <v>163</v>
      </c>
      <c r="E120" s="68" t="n">
        <v>1</v>
      </c>
      <c r="F120" s="68"/>
      <c r="G120" s="153"/>
      <c r="H120" s="153" t="n">
        <f aca="false">F120+G120</f>
        <v>0</v>
      </c>
      <c r="I120" s="153" t="n">
        <f aca="false">E120*H120</f>
        <v>0</v>
      </c>
      <c r="J120" s="71"/>
      <c r="K120" s="118"/>
      <c r="L120" s="118"/>
      <c r="M120" s="118"/>
    </row>
    <row r="121" s="39" customFormat="true" ht="123" hidden="false" customHeight="true" outlineLevel="1" collapsed="false">
      <c r="A121" s="65" t="n">
        <v>108</v>
      </c>
      <c r="B121" s="66" t="s">
        <v>446</v>
      </c>
      <c r="C121" s="159" t="s">
        <v>447</v>
      </c>
      <c r="D121" s="66" t="s">
        <v>102</v>
      </c>
      <c r="E121" s="68" t="n">
        <v>17</v>
      </c>
      <c r="F121" s="68"/>
      <c r="G121" s="153"/>
      <c r="H121" s="153" t="n">
        <f aca="false">F121+G121</f>
        <v>0</v>
      </c>
      <c r="I121" s="153" t="n">
        <f aca="false">E121*H121</f>
        <v>0</v>
      </c>
      <c r="J121" s="71"/>
      <c r="K121" s="118"/>
      <c r="L121" s="118"/>
      <c r="M121" s="118"/>
    </row>
    <row r="122" s="39" customFormat="true" ht="123" hidden="false" customHeight="true" outlineLevel="1" collapsed="false">
      <c r="A122" s="65" t="n">
        <v>109</v>
      </c>
      <c r="B122" s="66" t="s">
        <v>446</v>
      </c>
      <c r="C122" s="67" t="s">
        <v>448</v>
      </c>
      <c r="D122" s="66" t="s">
        <v>102</v>
      </c>
      <c r="E122" s="68" t="n">
        <v>67</v>
      </c>
      <c r="F122" s="68"/>
      <c r="G122" s="153"/>
      <c r="H122" s="153" t="n">
        <f aca="false">F122+G122</f>
        <v>0</v>
      </c>
      <c r="I122" s="153" t="n">
        <f aca="false">E122*H122</f>
        <v>0</v>
      </c>
      <c r="J122" s="71"/>
      <c r="K122" s="118"/>
      <c r="L122" s="118"/>
      <c r="M122" s="118"/>
    </row>
    <row r="123" s="39" customFormat="true" ht="146.25" hidden="false" customHeight="true" outlineLevel="1" collapsed="false">
      <c r="A123" s="65" t="n">
        <v>110</v>
      </c>
      <c r="B123" s="66" t="s">
        <v>449</v>
      </c>
      <c r="C123" s="159" t="s">
        <v>450</v>
      </c>
      <c r="D123" s="66" t="s">
        <v>102</v>
      </c>
      <c r="E123" s="68" t="n">
        <v>20</v>
      </c>
      <c r="F123" s="68"/>
      <c r="G123" s="153"/>
      <c r="H123" s="153" t="n">
        <f aca="false">F123+G123</f>
        <v>0</v>
      </c>
      <c r="I123" s="153" t="n">
        <f aca="false">E123*H123</f>
        <v>0</v>
      </c>
      <c r="J123" s="71"/>
      <c r="K123" s="118"/>
      <c r="L123" s="118"/>
      <c r="M123" s="118"/>
    </row>
    <row r="124" s="39" customFormat="true" ht="146.25" hidden="false" customHeight="true" outlineLevel="1" collapsed="false">
      <c r="A124" s="65" t="n">
        <v>111</v>
      </c>
      <c r="B124" s="66" t="s">
        <v>451</v>
      </c>
      <c r="C124" s="159" t="s">
        <v>452</v>
      </c>
      <c r="D124" s="66" t="s">
        <v>102</v>
      </c>
      <c r="E124" s="68" t="n">
        <v>45</v>
      </c>
      <c r="F124" s="68"/>
      <c r="G124" s="153"/>
      <c r="H124" s="153" t="n">
        <f aca="false">F124+G124</f>
        <v>0</v>
      </c>
      <c r="I124" s="153" t="n">
        <f aca="false">E124*H124</f>
        <v>0</v>
      </c>
      <c r="J124" s="71"/>
      <c r="K124" s="118"/>
      <c r="L124" s="118"/>
      <c r="M124" s="118"/>
    </row>
    <row r="125" s="39" customFormat="true" ht="52.5" hidden="false" customHeight="true" outlineLevel="1" collapsed="false">
      <c r="A125" s="65" t="n">
        <v>112</v>
      </c>
      <c r="B125" s="66" t="s">
        <v>453</v>
      </c>
      <c r="C125" s="159" t="s">
        <v>454</v>
      </c>
      <c r="D125" s="66" t="s">
        <v>102</v>
      </c>
      <c r="E125" s="68" t="n">
        <v>25</v>
      </c>
      <c r="F125" s="68"/>
      <c r="G125" s="153"/>
      <c r="H125" s="153" t="n">
        <f aca="false">F125+G125</f>
        <v>0</v>
      </c>
      <c r="I125" s="153" t="n">
        <f aca="false">E125*H125</f>
        <v>0</v>
      </c>
      <c r="J125" s="71" t="s">
        <v>455</v>
      </c>
      <c r="K125" s="118"/>
      <c r="L125" s="118"/>
      <c r="M125" s="118"/>
    </row>
    <row r="126" s="39" customFormat="true" ht="75.75" hidden="false" customHeight="true" outlineLevel="1" collapsed="false">
      <c r="A126" s="65" t="n">
        <v>113</v>
      </c>
      <c r="B126" s="66" t="s">
        <v>200</v>
      </c>
      <c r="C126" s="159" t="s">
        <v>251</v>
      </c>
      <c r="D126" s="86" t="s">
        <v>66</v>
      </c>
      <c r="E126" s="87" t="n">
        <v>120</v>
      </c>
      <c r="F126" s="87"/>
      <c r="G126" s="153"/>
      <c r="H126" s="153" t="n">
        <f aca="false">F126+G126</f>
        <v>0</v>
      </c>
      <c r="I126" s="153" t="n">
        <f aca="false">E126*H126</f>
        <v>0</v>
      </c>
      <c r="J126" s="71" t="s">
        <v>194</v>
      </c>
      <c r="K126" s="118"/>
      <c r="L126" s="118"/>
      <c r="M126" s="118"/>
    </row>
    <row r="127" s="39" customFormat="true" ht="75.75" hidden="false" customHeight="true" outlineLevel="1" collapsed="false">
      <c r="A127" s="65" t="n">
        <v>114</v>
      </c>
      <c r="B127" s="66" t="s">
        <v>200</v>
      </c>
      <c r="C127" s="159" t="s">
        <v>456</v>
      </c>
      <c r="D127" s="86" t="s">
        <v>66</v>
      </c>
      <c r="E127" s="87" t="n">
        <v>2991</v>
      </c>
      <c r="F127" s="87"/>
      <c r="G127" s="153"/>
      <c r="H127" s="153" t="n">
        <f aca="false">F127+G127</f>
        <v>0</v>
      </c>
      <c r="I127" s="153" t="n">
        <f aca="false">E127*H127</f>
        <v>0</v>
      </c>
      <c r="J127" s="71" t="s">
        <v>194</v>
      </c>
      <c r="K127" s="118"/>
      <c r="L127" s="118"/>
      <c r="M127" s="118"/>
    </row>
    <row r="128" s="39" customFormat="true" ht="75.75" hidden="false" customHeight="true" outlineLevel="1" collapsed="false">
      <c r="A128" s="65" t="n">
        <v>115</v>
      </c>
      <c r="B128" s="66" t="s">
        <v>200</v>
      </c>
      <c r="C128" s="159" t="s">
        <v>252</v>
      </c>
      <c r="D128" s="86" t="s">
        <v>66</v>
      </c>
      <c r="E128" s="87" t="n">
        <v>1582</v>
      </c>
      <c r="F128" s="87"/>
      <c r="G128" s="153"/>
      <c r="H128" s="153" t="n">
        <f aca="false">F128+G128</f>
        <v>0</v>
      </c>
      <c r="I128" s="153" t="n">
        <f aca="false">E128*H128</f>
        <v>0</v>
      </c>
      <c r="J128" s="71" t="s">
        <v>194</v>
      </c>
      <c r="K128" s="118"/>
      <c r="L128" s="118"/>
      <c r="M128" s="118"/>
    </row>
    <row r="129" s="39" customFormat="true" ht="75.75" hidden="false" customHeight="true" outlineLevel="1" collapsed="false">
      <c r="A129" s="65" t="n">
        <v>116</v>
      </c>
      <c r="B129" s="66" t="s">
        <v>200</v>
      </c>
      <c r="C129" s="159" t="s">
        <v>253</v>
      </c>
      <c r="D129" s="86" t="s">
        <v>66</v>
      </c>
      <c r="E129" s="87" t="n">
        <v>2322</v>
      </c>
      <c r="F129" s="87"/>
      <c r="G129" s="153"/>
      <c r="H129" s="153" t="n">
        <f aca="false">F129+G129</f>
        <v>0</v>
      </c>
      <c r="I129" s="153" t="n">
        <f aca="false">E129*H129</f>
        <v>0</v>
      </c>
      <c r="J129" s="71" t="s">
        <v>194</v>
      </c>
      <c r="K129" s="118"/>
      <c r="L129" s="118"/>
      <c r="M129" s="118"/>
    </row>
    <row r="130" s="39" customFormat="true" ht="75.75" hidden="false" customHeight="true" outlineLevel="1" collapsed="false">
      <c r="A130" s="65" t="n">
        <v>117</v>
      </c>
      <c r="B130" s="66" t="s">
        <v>200</v>
      </c>
      <c r="C130" s="159" t="s">
        <v>254</v>
      </c>
      <c r="D130" s="86" t="s">
        <v>66</v>
      </c>
      <c r="E130" s="87" t="n">
        <v>2240</v>
      </c>
      <c r="F130" s="87"/>
      <c r="G130" s="153"/>
      <c r="H130" s="153" t="n">
        <f aca="false">F130+G130</f>
        <v>0</v>
      </c>
      <c r="I130" s="153" t="n">
        <f aca="false">E130*H130</f>
        <v>0</v>
      </c>
      <c r="J130" s="71" t="s">
        <v>194</v>
      </c>
      <c r="K130" s="118"/>
      <c r="L130" s="118"/>
      <c r="M130" s="118"/>
    </row>
    <row r="131" s="39" customFormat="true" ht="75.75" hidden="false" customHeight="true" outlineLevel="1" collapsed="false">
      <c r="A131" s="65" t="n">
        <v>118</v>
      </c>
      <c r="B131" s="66" t="s">
        <v>200</v>
      </c>
      <c r="C131" s="159" t="s">
        <v>255</v>
      </c>
      <c r="D131" s="86" t="s">
        <v>66</v>
      </c>
      <c r="E131" s="87" t="n">
        <v>1477</v>
      </c>
      <c r="F131" s="87"/>
      <c r="G131" s="153"/>
      <c r="H131" s="153" t="n">
        <f aca="false">F131+G131</f>
        <v>0</v>
      </c>
      <c r="I131" s="153" t="n">
        <f aca="false">E131*H131</f>
        <v>0</v>
      </c>
      <c r="J131" s="71" t="s">
        <v>194</v>
      </c>
      <c r="K131" s="118"/>
      <c r="L131" s="118"/>
      <c r="M131" s="118"/>
    </row>
    <row r="132" s="39" customFormat="true" ht="99" hidden="false" customHeight="true" outlineLevel="1" collapsed="false">
      <c r="A132" s="65" t="n">
        <v>119</v>
      </c>
      <c r="B132" s="66" t="s">
        <v>202</v>
      </c>
      <c r="C132" s="159" t="s">
        <v>206</v>
      </c>
      <c r="D132" s="86" t="s">
        <v>66</v>
      </c>
      <c r="E132" s="87" t="n">
        <v>224</v>
      </c>
      <c r="F132" s="87"/>
      <c r="G132" s="153"/>
      <c r="H132" s="153" t="n">
        <f aca="false">F132+G132</f>
        <v>0</v>
      </c>
      <c r="I132" s="153" t="n">
        <f aca="false">E132*H132</f>
        <v>0</v>
      </c>
      <c r="J132" s="71" t="s">
        <v>53</v>
      </c>
      <c r="K132" s="118"/>
      <c r="L132" s="118"/>
      <c r="M132" s="118"/>
    </row>
    <row r="133" s="39" customFormat="true" ht="99" hidden="false" customHeight="true" outlineLevel="1" collapsed="false">
      <c r="A133" s="65" t="n">
        <v>120</v>
      </c>
      <c r="B133" s="88" t="s">
        <v>208</v>
      </c>
      <c r="C133" s="159" t="s">
        <v>210</v>
      </c>
      <c r="D133" s="86" t="s">
        <v>66</v>
      </c>
      <c r="E133" s="87" t="n">
        <v>864</v>
      </c>
      <c r="F133" s="87"/>
      <c r="G133" s="153"/>
      <c r="H133" s="153" t="n">
        <f aca="false">F133+G133</f>
        <v>0</v>
      </c>
      <c r="I133" s="153" t="n">
        <f aca="false">E133*H133</f>
        <v>0</v>
      </c>
      <c r="J133" s="71" t="s">
        <v>519</v>
      </c>
      <c r="K133" s="118"/>
      <c r="L133" s="118"/>
      <c r="M133" s="118"/>
    </row>
    <row r="134" s="39" customFormat="true" ht="52.5" hidden="false" customHeight="true" outlineLevel="1" collapsed="false">
      <c r="A134" s="65" t="n">
        <v>121</v>
      </c>
      <c r="B134" s="66" t="s">
        <v>457</v>
      </c>
      <c r="C134" s="159" t="s">
        <v>458</v>
      </c>
      <c r="D134" s="86" t="s">
        <v>98</v>
      </c>
      <c r="E134" s="87" t="n">
        <v>206.9</v>
      </c>
      <c r="F134" s="87"/>
      <c r="G134" s="153"/>
      <c r="H134" s="153" t="n">
        <f aca="false">F134+G134</f>
        <v>0</v>
      </c>
      <c r="I134" s="153" t="n">
        <f aca="false">E134*H134</f>
        <v>0</v>
      </c>
      <c r="J134" s="71" t="s">
        <v>99</v>
      </c>
      <c r="K134" s="118"/>
      <c r="L134" s="118"/>
      <c r="M134" s="118"/>
    </row>
    <row r="135" s="39" customFormat="true" ht="52.5" hidden="false" customHeight="true" outlineLevel="1" collapsed="false">
      <c r="A135" s="65" t="n">
        <v>122</v>
      </c>
      <c r="B135" s="66" t="s">
        <v>262</v>
      </c>
      <c r="C135" s="159" t="s">
        <v>459</v>
      </c>
      <c r="D135" s="86" t="s">
        <v>98</v>
      </c>
      <c r="E135" s="87" t="n">
        <v>963.8</v>
      </c>
      <c r="F135" s="87"/>
      <c r="G135" s="153"/>
      <c r="H135" s="153" t="n">
        <f aca="false">F135+G135</f>
        <v>0</v>
      </c>
      <c r="I135" s="153" t="n">
        <f aca="false">E135*H135</f>
        <v>0</v>
      </c>
      <c r="J135" s="71" t="s">
        <v>99</v>
      </c>
      <c r="K135" s="118"/>
      <c r="L135" s="118"/>
      <c r="M135" s="118"/>
    </row>
    <row r="136" s="39" customFormat="true" ht="40.5" hidden="false" customHeight="true" outlineLevel="1" collapsed="false">
      <c r="A136" s="65" t="n">
        <v>123</v>
      </c>
      <c r="B136" s="66" t="s">
        <v>213</v>
      </c>
      <c r="C136" s="160" t="s">
        <v>214</v>
      </c>
      <c r="D136" s="66" t="s">
        <v>163</v>
      </c>
      <c r="E136" s="68" t="n">
        <v>1</v>
      </c>
      <c r="F136" s="68"/>
      <c r="G136" s="153"/>
      <c r="H136" s="153" t="n">
        <f aca="false">F136+G136</f>
        <v>0</v>
      </c>
      <c r="I136" s="153" t="n">
        <f aca="false">E136*H136</f>
        <v>0</v>
      </c>
      <c r="J136" s="71" t="s">
        <v>99</v>
      </c>
      <c r="K136" s="118"/>
      <c r="L136" s="118"/>
      <c r="M136" s="118"/>
    </row>
    <row r="137" s="39" customFormat="true" ht="29.25" hidden="false" customHeight="true" outlineLevel="0" collapsed="false">
      <c r="A137" s="65"/>
      <c r="B137" s="79" t="s">
        <v>57</v>
      </c>
      <c r="C137" s="102"/>
      <c r="D137" s="86"/>
      <c r="E137" s="80"/>
      <c r="F137" s="80"/>
      <c r="G137" s="81"/>
      <c r="H137" s="81"/>
      <c r="I137" s="81" t="n">
        <f aca="false">SUM(I116:I136)</f>
        <v>0</v>
      </c>
      <c r="J137" s="83"/>
      <c r="K137" s="118"/>
      <c r="L137" s="118"/>
      <c r="M137" s="118"/>
    </row>
    <row r="138" s="39" customFormat="true" ht="29.25" hidden="false" customHeight="true" outlineLevel="0" collapsed="false">
      <c r="A138" s="84" t="s">
        <v>460</v>
      </c>
      <c r="B138" s="79" t="s">
        <v>217</v>
      </c>
      <c r="C138" s="102"/>
      <c r="D138" s="86"/>
      <c r="E138" s="80"/>
      <c r="F138" s="80"/>
      <c r="G138" s="81"/>
      <c r="H138" s="81"/>
      <c r="I138" s="81"/>
      <c r="J138" s="83"/>
      <c r="K138" s="118"/>
      <c r="L138" s="118"/>
      <c r="M138" s="118"/>
    </row>
    <row r="139" s="39" customFormat="true" ht="40.5" hidden="false" customHeight="true" outlineLevel="1" collapsed="false">
      <c r="A139" s="65" t="n">
        <v>124</v>
      </c>
      <c r="B139" s="66" t="s">
        <v>218</v>
      </c>
      <c r="C139" s="102"/>
      <c r="D139" s="66" t="s">
        <v>163</v>
      </c>
      <c r="E139" s="68" t="n">
        <v>1</v>
      </c>
      <c r="F139" s="68"/>
      <c r="G139" s="153"/>
      <c r="H139" s="153" t="n">
        <f aca="false">F139+G139</f>
        <v>0</v>
      </c>
      <c r="I139" s="153" t="n">
        <f aca="false">E139*H139</f>
        <v>0</v>
      </c>
      <c r="J139" s="71"/>
      <c r="K139" s="118"/>
      <c r="L139" s="118"/>
      <c r="M139" s="118"/>
    </row>
    <row r="140" s="39" customFormat="true" ht="40.5" hidden="false" customHeight="true" outlineLevel="1" collapsed="false">
      <c r="A140" s="65" t="n">
        <v>125</v>
      </c>
      <c r="B140" s="66" t="s">
        <v>219</v>
      </c>
      <c r="C140" s="102"/>
      <c r="D140" s="66" t="s">
        <v>163</v>
      </c>
      <c r="E140" s="68" t="n">
        <v>1</v>
      </c>
      <c r="F140" s="68"/>
      <c r="G140" s="153"/>
      <c r="H140" s="153" t="n">
        <f aca="false">F140+G140</f>
        <v>0</v>
      </c>
      <c r="I140" s="153" t="n">
        <f aca="false">E140*H140</f>
        <v>0</v>
      </c>
      <c r="J140" s="71"/>
      <c r="K140" s="118"/>
      <c r="L140" s="118"/>
      <c r="M140" s="118"/>
    </row>
    <row r="141" s="39" customFormat="true" ht="29.25" hidden="false" customHeight="true" outlineLevel="0" collapsed="false">
      <c r="A141" s="65"/>
      <c r="B141" s="79" t="s">
        <v>57</v>
      </c>
      <c r="C141" s="86"/>
      <c r="D141" s="86"/>
      <c r="E141" s="68"/>
      <c r="F141" s="68"/>
      <c r="G141" s="153"/>
      <c r="H141" s="153"/>
      <c r="I141" s="153" t="n">
        <f aca="false">SUM(I139:I140)</f>
        <v>0</v>
      </c>
      <c r="J141" s="71"/>
      <c r="K141" s="118"/>
      <c r="L141" s="118"/>
      <c r="M141" s="118"/>
    </row>
    <row r="142" s="39" customFormat="true" ht="29.25" hidden="false" customHeight="true" outlineLevel="0" collapsed="false">
      <c r="A142" s="139"/>
      <c r="B142" s="140" t="s">
        <v>461</v>
      </c>
      <c r="C142" s="140"/>
      <c r="D142" s="105"/>
      <c r="E142" s="106"/>
      <c r="F142" s="106"/>
      <c r="G142" s="167"/>
      <c r="H142" s="167"/>
      <c r="I142" s="167" t="n">
        <f aca="false">I15+I59+I95+I114+I137+I141</f>
        <v>0</v>
      </c>
      <c r="J142" s="109"/>
      <c r="K142" s="118"/>
      <c r="L142" s="118"/>
      <c r="M142" s="118"/>
      <c r="N142" s="161"/>
    </row>
  </sheetData>
  <mergeCells count="13">
    <mergeCell ref="A1:J1"/>
    <mergeCell ref="A2:J2"/>
    <mergeCell ref="L2:M2"/>
    <mergeCell ref="A3:A4"/>
    <mergeCell ref="B3:B4"/>
    <mergeCell ref="C3:C4"/>
    <mergeCell ref="D3:D4"/>
    <mergeCell ref="E3:E4"/>
    <mergeCell ref="F3:G3"/>
    <mergeCell ref="H3:H4"/>
    <mergeCell ref="I3:I4"/>
    <mergeCell ref="J3:J4"/>
    <mergeCell ref="B142:C1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6"/>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I36" activeCellId="0" sqref="I36"/>
    </sheetView>
  </sheetViews>
  <sheetFormatPr defaultColWidth="9.37109375" defaultRowHeight="12" zeroHeight="false" outlineLevelRow="0" outlineLevelCol="0"/>
  <cols>
    <col collapsed="false" customWidth="true" hidden="false" outlineLevel="0" max="1" min="1" style="0" width="13"/>
    <col collapsed="false" customWidth="true" hidden="false" outlineLevel="0" max="2" min="2" style="0" width="38"/>
    <col collapsed="false" customWidth="true" hidden="false" outlineLevel="0" max="3" min="3" style="0" width="52"/>
    <col collapsed="false" customWidth="true" hidden="false" outlineLevel="0" max="4" min="4" style="0" width="58"/>
    <col collapsed="false" customWidth="true" hidden="false" outlineLevel="0" max="5" min="5" style="0" width="28"/>
  </cols>
  <sheetData>
    <row r="1" customFormat="false" ht="47.25" hidden="false" customHeight="true" outlineLevel="0" collapsed="false">
      <c r="A1" s="168" t="s">
        <v>520</v>
      </c>
      <c r="B1" s="168"/>
      <c r="C1" s="168"/>
      <c r="D1" s="168"/>
    </row>
    <row r="2" customFormat="false" ht="36.75" hidden="false" customHeight="true" outlineLevel="0" collapsed="false">
      <c r="A2" s="169" t="s">
        <v>521</v>
      </c>
      <c r="B2" s="169" t="s">
        <v>522</v>
      </c>
      <c r="C2" s="169" t="s">
        <v>523</v>
      </c>
      <c r="D2" s="169" t="s">
        <v>524</v>
      </c>
    </row>
    <row r="3" customFormat="false" ht="134.25" hidden="false" customHeight="true" outlineLevel="0" collapsed="false">
      <c r="A3" s="170" t="n">
        <v>1</v>
      </c>
      <c r="B3" s="171" t="s">
        <v>525</v>
      </c>
      <c r="C3" s="171" t="s">
        <v>526</v>
      </c>
      <c r="D3" s="172" t="s">
        <v>527</v>
      </c>
    </row>
    <row r="4" customFormat="false" ht="91.5" hidden="false" customHeight="true" outlineLevel="0" collapsed="false">
      <c r="A4" s="170" t="n">
        <v>2</v>
      </c>
      <c r="B4" s="171" t="s">
        <v>528</v>
      </c>
      <c r="C4" s="171" t="s">
        <v>529</v>
      </c>
      <c r="D4" s="172" t="s">
        <v>530</v>
      </c>
    </row>
    <row r="5" customFormat="false" ht="63" hidden="false" customHeight="true" outlineLevel="0" collapsed="false">
      <c r="A5" s="170" t="n">
        <v>3</v>
      </c>
      <c r="B5" s="171" t="s">
        <v>531</v>
      </c>
      <c r="C5" s="171" t="s">
        <v>532</v>
      </c>
      <c r="D5" s="173" t="s">
        <v>533</v>
      </c>
    </row>
    <row r="6" customFormat="false" ht="34.5" hidden="false" customHeight="true" outlineLevel="0" collapsed="false">
      <c r="A6" s="170" t="n">
        <v>4</v>
      </c>
      <c r="B6" s="171" t="s">
        <v>534</v>
      </c>
      <c r="C6" s="171" t="s">
        <v>535</v>
      </c>
      <c r="D6" s="172"/>
    </row>
    <row r="7" customFormat="false" ht="48.75" hidden="false" customHeight="true" outlineLevel="0" collapsed="false">
      <c r="A7" s="170" t="n">
        <v>5</v>
      </c>
      <c r="B7" s="171" t="s">
        <v>536</v>
      </c>
      <c r="C7" s="171"/>
      <c r="D7" s="172"/>
    </row>
    <row r="8" customFormat="false" ht="48.75" hidden="false" customHeight="true" outlineLevel="0" collapsed="false">
      <c r="A8" s="170" t="n">
        <v>6</v>
      </c>
      <c r="B8" s="171" t="s">
        <v>537</v>
      </c>
      <c r="C8" s="171"/>
      <c r="D8" s="172" t="s">
        <v>527</v>
      </c>
    </row>
    <row r="9" customFormat="false" ht="91.5" hidden="false" customHeight="true" outlineLevel="0" collapsed="false">
      <c r="A9" s="170" t="n">
        <v>7</v>
      </c>
      <c r="B9" s="171" t="s">
        <v>538</v>
      </c>
      <c r="C9" s="171" t="s">
        <v>539</v>
      </c>
      <c r="D9" s="172" t="s">
        <v>540</v>
      </c>
    </row>
    <row r="10" customFormat="false" ht="77.25" hidden="false" customHeight="true" outlineLevel="0" collapsed="false">
      <c r="A10" s="170" t="n">
        <v>8</v>
      </c>
      <c r="B10" s="171" t="s">
        <v>541</v>
      </c>
      <c r="C10" s="171" t="s">
        <v>542</v>
      </c>
      <c r="D10" s="174"/>
    </row>
    <row r="11" customFormat="false" ht="34.5" hidden="false" customHeight="true" outlineLevel="0" collapsed="false">
      <c r="A11" s="170" t="n">
        <v>9</v>
      </c>
      <c r="B11" s="171" t="s">
        <v>543</v>
      </c>
      <c r="C11" s="175" t="s">
        <v>544</v>
      </c>
      <c r="D11" s="174"/>
    </row>
    <row r="12" customFormat="false" ht="48.75" hidden="false" customHeight="true" outlineLevel="0" collapsed="false">
      <c r="A12" s="170" t="n">
        <v>10</v>
      </c>
      <c r="B12" s="171" t="s">
        <v>545</v>
      </c>
      <c r="C12" s="171" t="s">
        <v>546</v>
      </c>
      <c r="D12" s="174"/>
    </row>
    <row r="13" customFormat="false" ht="34.5" hidden="false" customHeight="true" outlineLevel="0" collapsed="false">
      <c r="A13" s="170" t="n">
        <v>11</v>
      </c>
      <c r="B13" s="171" t="s">
        <v>547</v>
      </c>
      <c r="C13" s="171" t="s">
        <v>548</v>
      </c>
      <c r="D13" s="174"/>
    </row>
    <row r="14" customFormat="false" ht="77.25" hidden="false" customHeight="true" outlineLevel="0" collapsed="false">
      <c r="A14" s="170" t="n">
        <v>12</v>
      </c>
      <c r="B14" s="171" t="s">
        <v>549</v>
      </c>
      <c r="C14" s="171" t="s">
        <v>550</v>
      </c>
      <c r="D14" s="174"/>
    </row>
    <row r="15" customFormat="false" ht="34.5" hidden="false" customHeight="true" outlineLevel="0" collapsed="false">
      <c r="A15" s="170" t="n">
        <v>13</v>
      </c>
      <c r="B15" s="171" t="s">
        <v>551</v>
      </c>
      <c r="C15" s="171" t="s">
        <v>552</v>
      </c>
      <c r="D15" s="176" t="s">
        <v>553</v>
      </c>
    </row>
    <row r="16" customFormat="false" ht="34.5" hidden="false" customHeight="true" outlineLevel="0" collapsed="false">
      <c r="A16" s="170" t="n">
        <v>14</v>
      </c>
      <c r="B16" s="171" t="s">
        <v>554</v>
      </c>
      <c r="C16" s="171" t="s">
        <v>555</v>
      </c>
      <c r="D16" s="176" t="s">
        <v>556</v>
      </c>
    </row>
    <row r="17" customFormat="false" ht="34.5" hidden="false" customHeight="true" outlineLevel="0" collapsed="false">
      <c r="A17" s="170" t="n">
        <v>15</v>
      </c>
      <c r="B17" s="171" t="s">
        <v>557</v>
      </c>
      <c r="C17" s="171"/>
      <c r="D17" s="176" t="s">
        <v>558</v>
      </c>
    </row>
    <row r="18" customFormat="false" ht="34.5" hidden="false" customHeight="true" outlineLevel="0" collapsed="false">
      <c r="A18" s="170" t="n">
        <v>16</v>
      </c>
      <c r="B18" s="171" t="s">
        <v>559</v>
      </c>
      <c r="C18" s="171"/>
      <c r="D18" s="176" t="s">
        <v>558</v>
      </c>
    </row>
    <row r="19" customFormat="false" ht="34.5" hidden="false" customHeight="true" outlineLevel="0" collapsed="false">
      <c r="A19" s="170" t="n">
        <v>17</v>
      </c>
      <c r="B19" s="171" t="s">
        <v>560</v>
      </c>
      <c r="C19" s="177"/>
      <c r="D19" s="176" t="s">
        <v>558</v>
      </c>
    </row>
    <row r="20" customFormat="false" ht="48.75" hidden="false" customHeight="true" outlineLevel="0" collapsed="false">
      <c r="A20" s="170" t="n">
        <v>18</v>
      </c>
      <c r="B20" s="171" t="s">
        <v>561</v>
      </c>
      <c r="C20" s="177"/>
      <c r="D20" s="176" t="s">
        <v>558</v>
      </c>
    </row>
    <row r="21" customFormat="false" ht="48.75" hidden="false" customHeight="true" outlineLevel="0" collapsed="false">
      <c r="A21" s="170" t="n">
        <v>19</v>
      </c>
      <c r="B21" s="171" t="s">
        <v>562</v>
      </c>
      <c r="C21" s="177"/>
      <c r="D21" s="176" t="s">
        <v>558</v>
      </c>
    </row>
    <row r="22" customFormat="false" ht="34.5" hidden="false" customHeight="true" outlineLevel="0" collapsed="false">
      <c r="A22" s="170" t="n">
        <v>20</v>
      </c>
      <c r="B22" s="171" t="s">
        <v>563</v>
      </c>
      <c r="C22" s="178"/>
      <c r="D22" s="176" t="s">
        <v>558</v>
      </c>
    </row>
    <row r="23" customFormat="false" ht="48.75" hidden="false" customHeight="true" outlineLevel="0" collapsed="false">
      <c r="A23" s="170" t="n">
        <v>21</v>
      </c>
      <c r="B23" s="171" t="s">
        <v>564</v>
      </c>
      <c r="C23" s="179"/>
      <c r="D23" s="176" t="s">
        <v>565</v>
      </c>
    </row>
    <row r="24" customFormat="false" ht="48.75" hidden="false" customHeight="true" outlineLevel="0" collapsed="false">
      <c r="A24" s="170" t="n">
        <v>22</v>
      </c>
      <c r="B24" s="171" t="s">
        <v>566</v>
      </c>
      <c r="C24" s="179"/>
      <c r="D24" s="176" t="s">
        <v>565</v>
      </c>
    </row>
    <row r="25" customFormat="false" ht="48.75" hidden="false" customHeight="true" outlineLevel="0" collapsed="false">
      <c r="A25" s="170" t="n">
        <v>23</v>
      </c>
      <c r="B25" s="171" t="s">
        <v>567</v>
      </c>
      <c r="C25" s="177"/>
      <c r="D25" s="172" t="s">
        <v>568</v>
      </c>
    </row>
    <row r="26" customFormat="false" ht="34.5" hidden="false" customHeight="true" outlineLevel="0" collapsed="false">
      <c r="A26" s="170" t="n">
        <v>24</v>
      </c>
      <c r="B26" s="171" t="s">
        <v>569</v>
      </c>
      <c r="C26" s="177"/>
      <c r="D26" s="172" t="s">
        <v>570</v>
      </c>
    </row>
    <row r="27" customFormat="false" ht="34.5" hidden="false" customHeight="true" outlineLevel="0" collapsed="false">
      <c r="A27" s="170" t="n">
        <v>25</v>
      </c>
      <c r="B27" s="171" t="s">
        <v>571</v>
      </c>
      <c r="C27" s="177"/>
      <c r="D27" s="176" t="s">
        <v>572</v>
      </c>
    </row>
    <row r="28" customFormat="false" ht="34.5" hidden="false" customHeight="true" outlineLevel="0" collapsed="false">
      <c r="A28" s="170" t="n">
        <v>26</v>
      </c>
      <c r="B28" s="175" t="s">
        <v>573</v>
      </c>
      <c r="C28" s="177"/>
      <c r="D28" s="176" t="s">
        <v>574</v>
      </c>
    </row>
    <row r="29" customFormat="false" ht="34.5" hidden="false" customHeight="true" outlineLevel="0" collapsed="false">
      <c r="A29" s="170" t="n">
        <v>27</v>
      </c>
      <c r="B29" s="171" t="s">
        <v>575</v>
      </c>
      <c r="C29" s="177"/>
      <c r="D29" s="176" t="s">
        <v>576</v>
      </c>
    </row>
    <row r="30" customFormat="false" ht="34.5" hidden="false" customHeight="true" outlineLevel="0" collapsed="false">
      <c r="A30" s="170" t="n">
        <v>28</v>
      </c>
      <c r="B30" s="171" t="s">
        <v>577</v>
      </c>
      <c r="C30" s="177"/>
      <c r="D30" s="180" t="s">
        <v>578</v>
      </c>
    </row>
    <row r="31" customFormat="false" ht="48.75" hidden="false" customHeight="true" outlineLevel="0" collapsed="false">
      <c r="A31" s="170" t="n">
        <v>29</v>
      </c>
      <c r="B31" s="171" t="s">
        <v>579</v>
      </c>
      <c r="C31" s="171" t="s">
        <v>580</v>
      </c>
      <c r="D31" s="176" t="s">
        <v>581</v>
      </c>
    </row>
    <row r="32" customFormat="false" ht="34.5" hidden="false" customHeight="true" outlineLevel="0" collapsed="false">
      <c r="A32" s="170" t="n">
        <v>30</v>
      </c>
      <c r="B32" s="171" t="s">
        <v>582</v>
      </c>
      <c r="C32" s="181"/>
      <c r="D32" s="173" t="s">
        <v>583</v>
      </c>
    </row>
    <row r="33" customFormat="false" ht="34.5" hidden="false" customHeight="true" outlineLevel="0" collapsed="false">
      <c r="A33" s="170" t="n">
        <v>31</v>
      </c>
      <c r="B33" s="171" t="s">
        <v>584</v>
      </c>
      <c r="C33" s="177"/>
      <c r="D33" s="173" t="s">
        <v>583</v>
      </c>
    </row>
    <row r="34" customFormat="false" ht="34.5" hidden="false" customHeight="true" outlineLevel="0" collapsed="false">
      <c r="A34" s="170" t="n">
        <v>32</v>
      </c>
      <c r="B34" s="171" t="s">
        <v>585</v>
      </c>
      <c r="C34" s="177"/>
      <c r="D34" s="176" t="s">
        <v>586</v>
      </c>
    </row>
    <row r="35" customFormat="false" ht="34.5" hidden="false" customHeight="true" outlineLevel="0" collapsed="false">
      <c r="A35" s="170" t="n">
        <v>33</v>
      </c>
      <c r="B35" s="171" t="s">
        <v>587</v>
      </c>
      <c r="C35" s="177"/>
      <c r="D35" s="176" t="s">
        <v>586</v>
      </c>
    </row>
    <row r="36" customFormat="false" ht="105.75" hidden="false" customHeight="true" outlineLevel="0" collapsed="false">
      <c r="A36" s="182" t="s">
        <v>588</v>
      </c>
      <c r="B36" s="182"/>
      <c r="C36" s="182"/>
      <c r="D36" s="182"/>
    </row>
  </sheetData>
  <mergeCells count="2">
    <mergeCell ref="A1:D1"/>
    <mergeCell ref="A36:D3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2022-11-03T20:28:00Z</dcterms:created>
  <dc:creator>ASUS</dc:creator>
  <dc:description/>
  <dc:language>en-US</dc:language>
  <cp:lastModifiedBy>卢锡安</cp:lastModifiedBy>
  <cp:lastPrinted>2024-08-29T09:28:00Z</cp:lastPrinted>
  <dcterms:modified xsi:type="dcterms:W3CDTF">2026-10-02T04:06:17Z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3C0FE06CE92E4F63994E02E8629429E8_13</vt:lpwstr>
  </property>
  <property fmtid="{D5CDD505-2E9C-101B-9397-08002B2CF9AE}" pid="4" name="KSOProductBuildVer">
    <vt:lpwstr>2052-12.1.0.28505</vt:lpwstr>
  </property>
  <property fmtid="{D5CDD505-2E9C-101B-9397-08002B2CF9AE}" pid="5" name="KSOReadingLayout">
    <vt:bool>1</vt:bool>
  </property>
</Properties>
</file>